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Registro_Horas" sheetId="1" state="visible" r:id="rId1"/>
    <sheet xmlns:r="http://schemas.openxmlformats.org/officeDocument/2006/relationships" name="Resumen_Mensual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egistro_Horas_Desarrollos" sheetId="4" state="visible" r:id="rId4"/>
  </sheets>
  <definedNames>
    <definedName name="_xlnm._FilterDatabase" localSheetId="0" hidden="1">'Registro_Horas'!$A$1:$E$1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#,##0.00\ \€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Aptos Narrow"/>
      <family val="2"/>
      <color rgb="FF212121"/>
      <sz val="11"/>
      <scheme val="minor"/>
    </font>
    <font>
      <name val="Aptos Narrow"/>
      <family val="2"/>
      <color rgb="FF222222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4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/>
    </xf>
    <xf numFmtId="164" fontId="1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0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wrapText="1"/>
    </xf>
    <xf numFmtId="0" fontId="4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/>
            </a:pPr>
            <a:r>
              <a:rPr lang="es-ES"/>
              <a:t>Evolución Mensual de Ingresos</a:t>
            </a:r>
          </a:p>
        </rich>
      </tx>
      <overlay val="0"/>
    </title>
    <plotArea>
      <layout/>
      <lineChart>
        <grouping val="standard"/>
        <varyColors val="0"/>
        <ser>
          <idx val="0"/>
          <order val="0"/>
          <tx>
            <strRef>
              <f>Resumen_Mensual!$B$1</f>
              <strCache>
                <ptCount val="1"/>
                <pt idx="0">
                  <v>Ingresos Totales</v>
                </pt>
              </strCache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strRef>
              <f>Resumen_Mensual!$A$2:$A$13</f>
              <strCache>
                <ptCount val="12"/>
                <pt idx="0">
                  <v>Enero</v>
                </pt>
                <pt idx="1">
                  <v>Febrero</v>
                </pt>
                <pt idx="2">
                  <v>Marzo</v>
                </pt>
                <pt idx="3">
                  <v>Abril</v>
                </pt>
                <pt idx="4">
                  <v>Mayo</v>
                </pt>
                <pt idx="5">
                  <v>Junio</v>
                </pt>
                <pt idx="6">
                  <v>Julio</v>
                </pt>
                <pt idx="7">
                  <v>Agosto</v>
                </pt>
                <pt idx="8">
                  <v>Septiembre</v>
                </pt>
                <pt idx="9">
                  <v>Octubre</v>
                </pt>
                <pt idx="10">
                  <v>Noviembre</v>
                </pt>
                <pt idx="11">
                  <v>Diciembre</v>
                </pt>
              </strCache>
            </strRef>
          </cat>
          <val>
            <numRef>
              <f>Resumen_Mensual!$B$2:$B$13</f>
              <numCache>
                <formatCode>#,##0.00\ \€</formatCode>
                <ptCount val="12"/>
                <pt idx="0">
                  <v>1869.5</v>
                </pt>
                <pt idx="1">
                  <v>5638.3</v>
                </pt>
                <pt idx="2">
                  <v>6768.2</v>
                </pt>
                <pt idx="3">
                  <v>5258.9</v>
                </pt>
                <pt idx="4">
                  <v>9306</v>
                </pt>
                <pt idx="5">
                  <v>7718.1</v>
                </pt>
                <pt idx="6">
                  <v>10722.6</v>
                </pt>
                <pt idx="7">
                  <v>3891.4</v>
                </pt>
                <pt idx="8">
                  <v>8541.299999999999</v>
                </pt>
                <pt idx="9">
                  <v>16070.34</v>
                </pt>
                <pt idx="10">
                  <v>1638</v>
                </pt>
                <pt idx="11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967906032"/>
        <axId val="967900752"/>
      </lineChart>
      <catAx>
        <axId val="967906032"/>
        <scaling>
          <orientation val="minMax"/>
        </scaling>
        <delete val="0"/>
        <axPos val="b"/>
        <numFmt formatCode="General" sourceLinked="1"/>
        <majorTickMark val="out"/>
        <minorTickMark val="none"/>
        <tickLblPos val="nextTo"/>
        <crossAx val="967900752"/>
        <crosses val="autoZero"/>
        <auto val="1"/>
        <lblAlgn val="ctr"/>
        <lblOffset val="100"/>
        <noMultiLvlLbl val="0"/>
      </catAx>
      <valAx>
        <axId val="967900752"/>
        <scaling>
          <orientation val="minMax"/>
        </scaling>
        <delete val="0"/>
        <axPos val="l"/>
        <majorGridlines/>
        <numFmt formatCode="#,##0.00\ \€" sourceLinked="1"/>
        <majorTickMark val="out"/>
        <minorTickMark val="none"/>
        <tickLblPos val="nextTo"/>
        <crossAx val="967906032"/>
        <crosses val="autoZero"/>
        <crossBetween val="between"/>
      </valAx>
    </plotArea>
    <legend>
      <legendPos val="r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twoCellAnchor>
    <from>
      <col>3</col>
      <colOff>10160</colOff>
      <row>2</row>
      <rowOff>0</rowOff>
    </from>
    <to>
      <col>9</col>
      <colOff>124460</colOff>
      <row>17</row>
      <rowOff>114300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H91"/>
  <sheetViews>
    <sheetView tabSelected="1" topLeftCell="A30" workbookViewId="0">
      <selection activeCell="G70" sqref="G70"/>
    </sheetView>
  </sheetViews>
  <sheetFormatPr baseColWidth="10" defaultRowHeight="15"/>
  <cols>
    <col width="18.28515625" customWidth="1" style="10" min="1" max="1"/>
    <col width="24" customWidth="1" style="10" min="2" max="2"/>
    <col width="18.28515625" customWidth="1" style="10" min="3" max="3"/>
    <col width="18.28515625" customWidth="1" style="1" min="4" max="5"/>
    <col width="83" customWidth="1" style="11" min="8" max="8"/>
  </cols>
  <sheetData>
    <row r="1">
      <c r="A1" s="2" t="inlineStr">
        <is>
          <t>Mes</t>
        </is>
      </c>
      <c r="B1" s="2" t="inlineStr">
        <is>
          <t>Cliente</t>
        </is>
      </c>
      <c r="C1" s="2" t="inlineStr">
        <is>
          <t>Horas</t>
        </is>
      </c>
      <c r="D1" s="3" t="inlineStr">
        <is>
          <t>Precio/Hora</t>
        </is>
      </c>
      <c r="E1" s="3" t="inlineStr">
        <is>
          <t>Total</t>
        </is>
      </c>
      <c r="F1" s="2" t="inlineStr">
        <is>
          <t>Enviada</t>
        </is>
      </c>
      <c r="G1" s="2" t="inlineStr">
        <is>
          <t>Pagado</t>
        </is>
      </c>
      <c r="H1" s="7" t="inlineStr">
        <is>
          <t>Comentarios</t>
        </is>
      </c>
    </row>
    <row r="2">
      <c r="A2" t="inlineStr">
        <is>
          <t>Enero</t>
        </is>
      </c>
      <c r="B2" t="inlineStr">
        <is>
          <t>Diettest</t>
        </is>
      </c>
      <c r="C2" t="n">
        <v>7</v>
      </c>
      <c r="D2" s="1" t="n">
        <v>26</v>
      </c>
      <c r="E2" s="1">
        <f>C2*D2</f>
        <v/>
      </c>
      <c r="F2" t="b">
        <v>1</v>
      </c>
      <c r="G2" t="b">
        <v>1</v>
      </c>
      <c r="H2" s="11" t="inlineStr">
        <is>
          <t xml:space="preserve">Pago mensual de SEO </t>
        </is>
      </c>
    </row>
    <row r="3">
      <c r="A3" t="inlineStr">
        <is>
          <t>Enero</t>
        </is>
      </c>
      <c r="B3" t="inlineStr">
        <is>
          <t>Venttus Illusion</t>
        </is>
      </c>
      <c r="C3" t="n">
        <v>11</v>
      </c>
      <c r="D3" s="1" t="n">
        <v>30</v>
      </c>
      <c r="E3" s="1">
        <f>C3*D3</f>
        <v/>
      </c>
      <c r="F3" t="b">
        <v>1</v>
      </c>
      <c r="G3" t="b">
        <v>1</v>
      </c>
      <c r="H3" s="11" t="inlineStr">
        <is>
          <t xml:space="preserve">Pago mensual de Mantenimiento </t>
        </is>
      </c>
    </row>
    <row r="4">
      <c r="A4" t="inlineStr">
        <is>
          <t>Enero</t>
        </is>
      </c>
      <c r="B4" t="inlineStr">
        <is>
          <t>Templo del Masaje</t>
        </is>
      </c>
      <c r="C4">
        <f> 2 + (0/60)</f>
        <v/>
      </c>
      <c r="D4" s="1" t="n">
        <v>30</v>
      </c>
      <c r="E4" s="1">
        <f>C4*D4</f>
        <v/>
      </c>
      <c r="F4" t="b">
        <v>1</v>
      </c>
      <c r="G4" t="b">
        <v>1</v>
      </c>
      <c r="H4" s="11" t="inlineStr">
        <is>
          <t>Cambios en Webs (2h 0min)</t>
        </is>
      </c>
    </row>
    <row r="5">
      <c r="A5" t="inlineStr">
        <is>
          <t>Enero</t>
        </is>
      </c>
      <c r="B5" t="inlineStr">
        <is>
          <t>Findall</t>
        </is>
      </c>
      <c r="C5">
        <f>  5 + (0/60)</f>
        <v/>
      </c>
      <c r="D5" s="1" t="n">
        <v>26</v>
      </c>
      <c r="E5" s="1">
        <f>C5*D5</f>
        <v/>
      </c>
      <c r="F5" t="b">
        <v>1</v>
      </c>
      <c r="G5" t="b">
        <v>1</v>
      </c>
      <c r="H5" s="11" t="inlineStr">
        <is>
          <t>Traducciones (1h) + Vista movil (3h) + Página Web (1h)</t>
        </is>
      </c>
    </row>
    <row r="6" ht="14.45" customHeight="1" s="10">
      <c r="A6" t="inlineStr">
        <is>
          <t>Enero</t>
        </is>
      </c>
      <c r="B6" t="inlineStr">
        <is>
          <t>Clases Alicia</t>
        </is>
      </c>
      <c r="C6">
        <f> 3 + (40/60)</f>
        <v/>
      </c>
      <c r="D6" s="1" t="n">
        <v>30</v>
      </c>
      <c r="E6" s="1">
        <f>C6*D6</f>
        <v/>
      </c>
      <c r="F6" t="b">
        <v>1</v>
      </c>
      <c r="G6" t="b">
        <v>1</v>
      </c>
      <c r="H6" s="11" t="inlineStr">
        <is>
          <t>Martes 13, 12:00-13:30 + Miercoles 21, 12:00 - 13:00 + Martes 27, 12:00 - 13:10</t>
        </is>
      </c>
    </row>
    <row r="7">
      <c r="A7" t="inlineStr">
        <is>
          <t>Enero</t>
        </is>
      </c>
      <c r="B7" t="inlineStr">
        <is>
          <t>Chigo Bienestar</t>
        </is>
      </c>
      <c r="C7" t="n">
        <v>35.25</v>
      </c>
      <c r="D7" s="1" t="n">
        <v>30</v>
      </c>
      <c r="E7" s="1">
        <f>C7*D7</f>
        <v/>
      </c>
      <c r="F7" t="b">
        <v>1</v>
      </c>
      <c r="G7" t="b">
        <v>1</v>
      </c>
      <c r="H7" s="11" t="inlineStr">
        <is>
          <t>Primer pago de EPCO Freemium</t>
        </is>
      </c>
    </row>
    <row r="8">
      <c r="A8" t="inlineStr">
        <is>
          <t>Febrero</t>
        </is>
      </c>
      <c r="B8" t="inlineStr">
        <is>
          <t>Chigo Bienestar</t>
        </is>
      </c>
      <c r="C8" t="n">
        <v>35.25</v>
      </c>
      <c r="D8" s="1" t="n">
        <v>30</v>
      </c>
      <c r="E8" s="1">
        <f>C8*D8</f>
        <v/>
      </c>
      <c r="F8" t="b">
        <v>1</v>
      </c>
      <c r="G8" t="b">
        <v>1</v>
      </c>
      <c r="H8" s="11" t="inlineStr">
        <is>
          <t>Segundo pago de EPCO Freemium</t>
        </is>
      </c>
    </row>
    <row r="9">
      <c r="A9" t="inlineStr">
        <is>
          <t>Febrero</t>
        </is>
      </c>
      <c r="B9" t="inlineStr">
        <is>
          <t>Diettest</t>
        </is>
      </c>
      <c r="C9" t="n">
        <v>7</v>
      </c>
      <c r="D9" s="1" t="n">
        <v>26</v>
      </c>
      <c r="E9" s="1">
        <f>C9*D9</f>
        <v/>
      </c>
      <c r="F9" t="b">
        <v>1</v>
      </c>
      <c r="G9" t="b">
        <v>1</v>
      </c>
      <c r="H9" s="11" t="inlineStr">
        <is>
          <t xml:space="preserve">Pago mensual de SEO </t>
        </is>
      </c>
    </row>
    <row r="10">
      <c r="A10" t="inlineStr">
        <is>
          <t>Febrero</t>
        </is>
      </c>
      <c r="B10" t="inlineStr">
        <is>
          <t>Venttus Illusion</t>
        </is>
      </c>
      <c r="C10" t="n">
        <v>11</v>
      </c>
      <c r="D10" s="1" t="n">
        <v>30</v>
      </c>
      <c r="E10" s="1">
        <f>C10*D10</f>
        <v/>
      </c>
      <c r="F10" t="b">
        <v>1</v>
      </c>
      <c r="G10" t="b">
        <v>1</v>
      </c>
      <c r="H10" s="11" t="inlineStr">
        <is>
          <t xml:space="preserve">Pago mensual de Mantenimiento </t>
        </is>
      </c>
    </row>
    <row r="11">
      <c r="A11" t="inlineStr">
        <is>
          <t>Febrero</t>
        </is>
      </c>
      <c r="B11" t="inlineStr">
        <is>
          <t>Label Concierge</t>
        </is>
      </c>
      <c r="C11" t="n">
        <v>3</v>
      </c>
      <c r="D11" s="1" t="n">
        <v>35</v>
      </c>
      <c r="E11" s="1">
        <f>C11*D11</f>
        <v/>
      </c>
      <c r="F11" t="b">
        <v>1</v>
      </c>
      <c r="G11" t="b">
        <v>1</v>
      </c>
      <c r="H11" s="11" t="inlineStr">
        <is>
          <t>Recuperar documentos y usuarios</t>
        </is>
      </c>
    </row>
    <row r="12">
      <c r="A12" t="inlineStr">
        <is>
          <t>Febrero</t>
        </is>
      </c>
      <c r="B12" t="inlineStr">
        <is>
          <t>Templo del Masaje</t>
        </is>
      </c>
      <c r="C12">
        <f> 5 + (30/60)</f>
        <v/>
      </c>
      <c r="D12" s="1" t="n">
        <v>30</v>
      </c>
      <c r="E12" s="1">
        <f>C12*D12</f>
        <v/>
      </c>
      <c r="F12" t="b">
        <v>1</v>
      </c>
      <c r="G12" t="b">
        <v>1</v>
      </c>
      <c r="H12" s="11" t="inlineStr">
        <is>
          <t>Cambios en Webs (3h 0min) + Cambios en Extranet de Nobel (2h 30min)</t>
        </is>
      </c>
    </row>
    <row r="13" ht="14.45" customHeight="1" s="10">
      <c r="A13" t="inlineStr">
        <is>
          <t>Febrero</t>
        </is>
      </c>
      <c r="B13" t="inlineStr">
        <is>
          <t>Clases Alicia</t>
        </is>
      </c>
      <c r="C13">
        <f> 2 + (10/60)</f>
        <v/>
      </c>
      <c r="D13" s="1" t="n">
        <v>30</v>
      </c>
      <c r="E13" s="1">
        <f>C13*D13</f>
        <v/>
      </c>
      <c r="F13" t="b">
        <v>1</v>
      </c>
      <c r="G13" t="b">
        <v>1</v>
      </c>
      <c r="H13" s="11" t="inlineStr">
        <is>
          <t>Viernes 06, 9:40-10:50 + Martes 10, 11:40  a 12:40</t>
        </is>
      </c>
    </row>
    <row r="14" ht="14.45" customHeight="1" s="10">
      <c r="A14" t="inlineStr">
        <is>
          <t>Febrero</t>
        </is>
      </c>
      <c r="B14" t="inlineStr">
        <is>
          <t>Jacinto</t>
        </is>
      </c>
      <c r="C14">
        <f> 24.6</f>
        <v/>
      </c>
      <c r="D14" s="1" t="n">
        <v>30</v>
      </c>
      <c r="E14" s="1">
        <f>C14*D14</f>
        <v/>
      </c>
      <c r="F14" t="b">
        <v>1</v>
      </c>
      <c r="G14" t="b">
        <v>1</v>
      </c>
      <c r="H14" s="11" t="inlineStr">
        <is>
          <t>Primer pago de Jacinto y APP</t>
        </is>
      </c>
    </row>
    <row r="15">
      <c r="A15" t="inlineStr">
        <is>
          <t>Febrero</t>
        </is>
      </c>
      <c r="B15" t="inlineStr">
        <is>
          <t>Dasana</t>
        </is>
      </c>
      <c r="C15" t="n">
        <v>45</v>
      </c>
      <c r="D15" s="1" t="n">
        <v>30</v>
      </c>
      <c r="E15" s="1">
        <f>C15*D15</f>
        <v/>
      </c>
      <c r="F15" t="b">
        <v>1</v>
      </c>
      <c r="G15" t="b">
        <v>1</v>
      </c>
      <c r="H15" s="11" t="inlineStr">
        <is>
          <t>Pago por Make y Brevo de Dasana</t>
        </is>
      </c>
    </row>
    <row r="16">
      <c r="A16" t="inlineStr">
        <is>
          <t>Febrero</t>
        </is>
      </c>
      <c r="B16" t="inlineStr">
        <is>
          <t>Daniel Oñate</t>
        </is>
      </c>
      <c r="C16" t="n">
        <v>63.3</v>
      </c>
      <c r="D16" s="1" t="n">
        <v>26</v>
      </c>
      <c r="E16" s="1">
        <f>C16*D16</f>
        <v/>
      </c>
      <c r="F16" t="b">
        <v>1</v>
      </c>
      <c r="G16" t="b">
        <v>1</v>
      </c>
      <c r="H16" s="11" t="inlineStr">
        <is>
          <t>Primer pago APP Daniel</t>
        </is>
      </c>
    </row>
    <row r="17" ht="14.45" customHeight="1" s="10">
      <c r="A17" t="inlineStr">
        <is>
          <t>Marzo</t>
        </is>
      </c>
      <c r="B17" t="inlineStr">
        <is>
          <t>Jacinto</t>
        </is>
      </c>
      <c r="C17">
        <f> 24.6</f>
        <v/>
      </c>
      <c r="D17" s="1" t="n">
        <v>30</v>
      </c>
      <c r="E17" s="1">
        <f>C17*D17</f>
        <v/>
      </c>
      <c r="F17" t="b">
        <v>1</v>
      </c>
      <c r="G17" t="b">
        <v>1</v>
      </c>
      <c r="H17" s="11" t="inlineStr">
        <is>
          <t>Segundo pago de Jacinto y APP</t>
        </is>
      </c>
    </row>
    <row r="18">
      <c r="A18" t="inlineStr">
        <is>
          <t>Marzo</t>
        </is>
      </c>
      <c r="B18" t="inlineStr">
        <is>
          <t>Venttus Illusion</t>
        </is>
      </c>
      <c r="C18" t="n">
        <v>6</v>
      </c>
      <c r="D18" s="1" t="n">
        <v>30</v>
      </c>
      <c r="E18" s="1">
        <f>C18*D18</f>
        <v/>
      </c>
      <c r="F18" t="b">
        <v>1</v>
      </c>
      <c r="G18" t="b">
        <v>1</v>
      </c>
      <c r="H18" s="11" t="inlineStr">
        <is>
          <t xml:space="preserve">Pago mensual de Mantenimiento </t>
        </is>
      </c>
    </row>
    <row r="19">
      <c r="A19" t="inlineStr">
        <is>
          <t>Marzo</t>
        </is>
      </c>
      <c r="B19" t="inlineStr">
        <is>
          <t>Templo del Masaje</t>
        </is>
      </c>
      <c r="C19">
        <f> 2 + (0/60)</f>
        <v/>
      </c>
      <c r="D19" s="1" t="n">
        <v>30</v>
      </c>
      <c r="E19" s="1">
        <f>C19*D19</f>
        <v/>
      </c>
      <c r="F19" t="b">
        <v>1</v>
      </c>
      <c r="G19" t="b">
        <v>1</v>
      </c>
      <c r="H19" s="11" t="inlineStr">
        <is>
          <t>Cambios en Webs (2h 0min)</t>
        </is>
      </c>
    </row>
    <row r="20">
      <c r="A20" t="inlineStr">
        <is>
          <t>Marzo</t>
        </is>
      </c>
      <c r="B20" t="inlineStr">
        <is>
          <t>Daniel Oñate</t>
        </is>
      </c>
      <c r="C20" t="n">
        <v>84.40000000000001</v>
      </c>
      <c r="D20" s="1" t="n">
        <v>26</v>
      </c>
      <c r="E20" s="1">
        <f>C20*D20</f>
        <v/>
      </c>
      <c r="F20" t="b">
        <v>1</v>
      </c>
      <c r="G20" t="b">
        <v>1</v>
      </c>
      <c r="H20" s="11" t="inlineStr">
        <is>
          <t>Segundo pago APP Daniel</t>
        </is>
      </c>
    </row>
    <row r="21">
      <c r="A21" t="inlineStr">
        <is>
          <t>Marzo</t>
        </is>
      </c>
      <c r="B21" t="inlineStr">
        <is>
          <t>Yolanda Jarasclub</t>
        </is>
      </c>
      <c r="C21" t="n">
        <v>65</v>
      </c>
      <c r="D21" s="1" t="n">
        <v>30</v>
      </c>
      <c r="E21" s="1">
        <f>C21*D21</f>
        <v/>
      </c>
      <c r="F21" t="b">
        <v>1</v>
      </c>
      <c r="G21" t="b">
        <v>1</v>
      </c>
      <c r="H21" s="11" t="inlineStr">
        <is>
          <t>Primer pago JarasClub Yolanda</t>
        </is>
      </c>
    </row>
    <row r="22">
      <c r="A22" t="inlineStr">
        <is>
          <t>Marzo</t>
        </is>
      </c>
      <c r="B22" t="inlineStr">
        <is>
          <t>Daniel Oñate</t>
        </is>
      </c>
      <c r="C22" t="n">
        <v>63.3</v>
      </c>
      <c r="D22" s="1" t="n">
        <v>26</v>
      </c>
      <c r="E22" s="1">
        <f>C22*D22</f>
        <v/>
      </c>
      <c r="F22" t="b">
        <v>1</v>
      </c>
      <c r="G22" t="b">
        <v>1</v>
      </c>
      <c r="H22" s="11" t="inlineStr">
        <is>
          <t>Tercero pago APP Daniel</t>
        </is>
      </c>
    </row>
    <row r="23">
      <c r="A23" t="inlineStr">
        <is>
          <t>Abril</t>
        </is>
      </c>
      <c r="B23" t="inlineStr">
        <is>
          <t>Diettest</t>
        </is>
      </c>
      <c r="C23" t="n">
        <v>4</v>
      </c>
      <c r="D23" s="1" t="n">
        <v>26</v>
      </c>
      <c r="E23" s="1">
        <f>C23*D23</f>
        <v/>
      </c>
      <c r="F23" t="b">
        <v>1</v>
      </c>
      <c r="G23" t="b">
        <v>1</v>
      </c>
      <c r="H23" s="11" t="inlineStr">
        <is>
          <t xml:space="preserve">Pago mensual de SEO </t>
        </is>
      </c>
    </row>
    <row r="24">
      <c r="A24" t="inlineStr">
        <is>
          <t>Abril</t>
        </is>
      </c>
      <c r="B24" t="inlineStr">
        <is>
          <t>Chigo Bienestar</t>
        </is>
      </c>
      <c r="C24" t="n">
        <v>25.5</v>
      </c>
      <c r="D24" s="1" t="n">
        <v>30</v>
      </c>
      <c r="E24" s="1">
        <f>C24*D24</f>
        <v/>
      </c>
      <c r="F24" t="b">
        <v>1</v>
      </c>
      <c r="G24" t="b">
        <v>1</v>
      </c>
      <c r="H24" s="11" t="inlineStr">
        <is>
          <t>Desarrollo de decathlon</t>
        </is>
      </c>
    </row>
    <row r="25">
      <c r="A25" t="inlineStr">
        <is>
          <t>Abril</t>
        </is>
      </c>
      <c r="B25" t="inlineStr">
        <is>
          <t xml:space="preserve">2 Connect </t>
        </is>
      </c>
      <c r="C25">
        <f> 75 + (30/60)</f>
        <v/>
      </c>
      <c r="D25" s="1" t="n">
        <v>26</v>
      </c>
      <c r="E25" s="1">
        <f>C25*D25</f>
        <v/>
      </c>
      <c r="F25" t="b">
        <v>1</v>
      </c>
      <c r="G25" t="b">
        <v>1</v>
      </c>
      <c r="H25" s="11" t="inlineStr">
        <is>
          <t>Último Pago 2 Connect APP</t>
        </is>
      </c>
    </row>
    <row r="26">
      <c r="A26" t="inlineStr">
        <is>
          <t>Abril</t>
        </is>
      </c>
      <c r="B26" t="inlineStr">
        <is>
          <t>Somos Aventura</t>
        </is>
      </c>
      <c r="C26">
        <f> 72.83</f>
        <v/>
      </c>
      <c r="D26" s="1" t="n">
        <v>30</v>
      </c>
      <c r="E26" s="1">
        <f>C26*D26</f>
        <v/>
      </c>
      <c r="F26" t="b">
        <v>1</v>
      </c>
      <c r="G26" t="b">
        <v>1</v>
      </c>
      <c r="H26" s="11" t="inlineStr">
        <is>
          <t>Último Pago 2 Connect APP</t>
        </is>
      </c>
    </row>
    <row r="27">
      <c r="A27" t="inlineStr">
        <is>
          <t>Abril</t>
        </is>
      </c>
      <c r="B27" t="inlineStr">
        <is>
          <t>Templo del Masaje</t>
        </is>
      </c>
      <c r="C27">
        <f> 2 + (0/60)</f>
        <v/>
      </c>
      <c r="D27" s="1" t="n">
        <v>30</v>
      </c>
      <c r="E27" s="1">
        <f>C27*D27</f>
        <v/>
      </c>
      <c r="F27" t="b">
        <v>1</v>
      </c>
      <c r="G27" t="b">
        <v>1</v>
      </c>
      <c r="H27" s="11" t="inlineStr">
        <is>
          <t>Cambios en Webs (2h 0min)</t>
        </is>
      </c>
    </row>
    <row r="28">
      <c r="A28" t="inlineStr">
        <is>
          <t>Abril</t>
        </is>
      </c>
      <c r="B28" t="inlineStr">
        <is>
          <t>Diettest</t>
        </is>
      </c>
      <c r="C28">
        <f> 7 + (0/60)</f>
        <v/>
      </c>
      <c r="D28" s="1" t="n">
        <v>26</v>
      </c>
      <c r="E28" s="1">
        <f>C28*D28</f>
        <v/>
      </c>
      <c r="F28" t="b">
        <v>1</v>
      </c>
      <c r="G28" t="b">
        <v>1</v>
      </c>
      <c r="H28" s="11" t="inlineStr">
        <is>
          <t>Pago Reuniones Google ADS y Google Tag Manager (3h 30min) + Bakcups 1h 30min + Reunion para Zoom, Cancelar Reservas, Meta/Google ADS (2h)</t>
        </is>
      </c>
    </row>
    <row r="29" ht="14.45" customHeight="1" s="10">
      <c r="A29" t="inlineStr">
        <is>
          <t>Mayo</t>
        </is>
      </c>
      <c r="B29" t="inlineStr">
        <is>
          <t>Travel Meet</t>
        </is>
      </c>
      <c r="C29" t="n">
        <v>62.1</v>
      </c>
      <c r="D29" s="1" t="n">
        <v>30</v>
      </c>
      <c r="E29" s="1">
        <f>C29*D29</f>
        <v/>
      </c>
      <c r="F29" t="b">
        <v>1</v>
      </c>
      <c r="G29" t="b">
        <v>1</v>
      </c>
      <c r="H29" s="11" t="inlineStr">
        <is>
          <t>Primer pago de Travel Meet</t>
        </is>
      </c>
    </row>
    <row r="30" ht="14.25" customHeight="1" s="10">
      <c r="A30" t="inlineStr">
        <is>
          <t>Mayo</t>
        </is>
      </c>
      <c r="B30" t="inlineStr">
        <is>
          <t>Tartuga</t>
        </is>
      </c>
      <c r="C30">
        <f> 37</f>
        <v/>
      </c>
      <c r="D30" s="1" t="n">
        <v>30</v>
      </c>
      <c r="E30" s="1">
        <f>C30*D30</f>
        <v/>
      </c>
      <c r="F30" t="b">
        <v>1</v>
      </c>
      <c r="G30" t="b">
        <v>1</v>
      </c>
      <c r="H30" s="11" t="inlineStr">
        <is>
          <t>Tercer pago de Tartuga</t>
        </is>
      </c>
    </row>
    <row r="31" ht="14.25" customHeight="1" s="10">
      <c r="A31" t="inlineStr">
        <is>
          <t>Mayo</t>
        </is>
      </c>
      <c r="B31" t="inlineStr">
        <is>
          <t>Dasana</t>
        </is>
      </c>
      <c r="C31" t="n">
        <v>30</v>
      </c>
      <c r="D31" s="1" t="n">
        <v>30</v>
      </c>
      <c r="E31" s="1">
        <f>C31*D31</f>
        <v/>
      </c>
      <c r="F31" t="b">
        <v>1</v>
      </c>
      <c r="G31" t="b">
        <v>1</v>
      </c>
      <c r="H31" s="11" t="inlineStr">
        <is>
          <t>Pago final de Dasana</t>
        </is>
      </c>
    </row>
    <row r="32" ht="14.25" customHeight="1" s="10">
      <c r="A32" t="inlineStr">
        <is>
          <t>Mayo</t>
        </is>
      </c>
      <c r="B32" t="inlineStr">
        <is>
          <t>We Offsite</t>
        </is>
      </c>
      <c r="C32">
        <f> 25</f>
        <v/>
      </c>
      <c r="D32" s="1" t="n">
        <v>30</v>
      </c>
      <c r="E32" s="1">
        <f>C32*D32</f>
        <v/>
      </c>
      <c r="F32" t="b">
        <v>1</v>
      </c>
      <c r="G32" t="b">
        <v>1</v>
      </c>
      <c r="H32" s="11" t="inlineStr">
        <is>
          <t xml:space="preserve">Primer pago página web de Roberto Astro </t>
        </is>
      </c>
    </row>
    <row r="33" ht="14.25" customHeight="1" s="10">
      <c r="A33" t="inlineStr">
        <is>
          <t>Mayo</t>
        </is>
      </c>
      <c r="B33" t="inlineStr">
        <is>
          <t>TODO VA BIEN MJM SL</t>
        </is>
      </c>
      <c r="C33">
        <f> 13.5</f>
        <v/>
      </c>
      <c r="D33" s="1" t="n">
        <v>30</v>
      </c>
      <c r="E33" s="1">
        <f>C33*D33</f>
        <v/>
      </c>
      <c r="F33" t="b">
        <v>1</v>
      </c>
      <c r="G33" t="b">
        <v>1</v>
      </c>
      <c r="H33" s="11" t="inlineStr">
        <is>
          <t xml:space="preserve">Primer pago página web de Maria Jose Astro </t>
        </is>
      </c>
    </row>
    <row r="34" ht="14.25" customHeight="1" s="10">
      <c r="A34" t="inlineStr">
        <is>
          <t>Mayo</t>
        </is>
      </c>
      <c r="B34" s="12" t="inlineStr">
        <is>
          <t>FUNDACION VISUAL TEAF</t>
        </is>
      </c>
      <c r="C34" t="n">
        <v>110.1</v>
      </c>
      <c r="D34" s="1" t="n">
        <v>30</v>
      </c>
      <c r="E34" s="1">
        <f>C34*D34</f>
        <v/>
      </c>
      <c r="F34" t="b">
        <v>1</v>
      </c>
      <c r="G34" t="b">
        <v>1</v>
      </c>
      <c r="H34" s="11" t="inlineStr">
        <is>
          <t xml:space="preserve">Primer pago plataforma fundacion </t>
        </is>
      </c>
    </row>
    <row r="35">
      <c r="A35" t="inlineStr">
        <is>
          <t>Mayo</t>
        </is>
      </c>
      <c r="B35" t="inlineStr">
        <is>
          <t>Daniel Oñate</t>
        </is>
      </c>
      <c r="C35" t="n">
        <v>6</v>
      </c>
      <c r="D35" s="1" t="n">
        <v>30</v>
      </c>
      <c r="E35" s="1">
        <f>C35*D35</f>
        <v/>
      </c>
      <c r="F35" t="b">
        <v>1</v>
      </c>
      <c r="G35" t="b">
        <v>1</v>
      </c>
      <c r="H35" s="11" t="inlineStr">
        <is>
          <t>Pago por panel de administración</t>
        </is>
      </c>
    </row>
    <row r="36" ht="14.25" customHeight="1" s="10">
      <c r="A36" t="inlineStr">
        <is>
          <t>Mayo</t>
        </is>
      </c>
      <c r="B36" s="9" t="inlineStr">
        <is>
          <t xml:space="preserve">PAVIMPRESOCAT </t>
        </is>
      </c>
      <c r="C36">
        <f> 26.5</f>
        <v/>
      </c>
      <c r="D36" s="1" t="n">
        <v>30</v>
      </c>
      <c r="E36" s="1">
        <f>C36*D36</f>
        <v/>
      </c>
      <c r="F36" t="b">
        <v>1</v>
      </c>
      <c r="G36" t="b">
        <v>1</v>
      </c>
      <c r="H36" s="11" t="inlineStr">
        <is>
          <t xml:space="preserve">Primer pago página web de PAVIMPRESOCAT  </t>
        </is>
      </c>
    </row>
    <row r="37">
      <c r="A37" t="inlineStr">
        <is>
          <t>Junio</t>
        </is>
      </c>
      <c r="B37" t="inlineStr">
        <is>
          <t xml:space="preserve">2 Connect </t>
        </is>
      </c>
      <c r="C37">
        <f> 39 + (30/60)</f>
        <v/>
      </c>
      <c r="D37" s="1" t="n">
        <v>30</v>
      </c>
      <c r="E37" s="1">
        <f>C37*D37</f>
        <v/>
      </c>
      <c r="F37" t="b">
        <v>1</v>
      </c>
      <c r="G37" t="b">
        <v>1</v>
      </c>
      <c r="H37" s="11" t="inlineStr">
        <is>
          <t>Plataforma Admin de 2Connect</t>
        </is>
      </c>
    </row>
    <row r="38" ht="14.25" customHeight="1" s="10">
      <c r="A38" t="inlineStr">
        <is>
          <t>Junio</t>
        </is>
      </c>
      <c r="B38" t="inlineStr">
        <is>
          <t>We Offsite</t>
        </is>
      </c>
      <c r="C38">
        <f> 25</f>
        <v/>
      </c>
      <c r="D38" s="1" t="n">
        <v>30</v>
      </c>
      <c r="E38" s="1">
        <f>C38*D38</f>
        <v/>
      </c>
      <c r="F38" t="b">
        <v>1</v>
      </c>
      <c r="G38" t="b">
        <v>1</v>
      </c>
      <c r="H38" s="11" t="inlineStr">
        <is>
          <t xml:space="preserve">Último pago página web de Roberto Astro </t>
        </is>
      </c>
    </row>
    <row r="39" ht="14.25" customHeight="1" s="10">
      <c r="A39" t="inlineStr">
        <is>
          <t>Junio</t>
        </is>
      </c>
      <c r="B39" s="9" t="inlineStr">
        <is>
          <t xml:space="preserve">PAVIMPRESOCAT </t>
        </is>
      </c>
      <c r="C39">
        <f> 26.5</f>
        <v/>
      </c>
      <c r="D39" s="1" t="n">
        <v>30</v>
      </c>
      <c r="E39" s="1">
        <f>C39*D39</f>
        <v/>
      </c>
      <c r="F39" t="b">
        <v>1</v>
      </c>
      <c r="G39" t="b">
        <v>1</v>
      </c>
      <c r="H39" s="11" t="inlineStr">
        <is>
          <t xml:space="preserve">Último pago página web de PAVIMPRESOCAT  </t>
        </is>
      </c>
    </row>
    <row r="40" ht="14.25" customHeight="1" s="10">
      <c r="A40" t="inlineStr">
        <is>
          <t>Junio</t>
        </is>
      </c>
      <c r="B40" t="inlineStr">
        <is>
          <t>TODO VA BIEN MJM SL</t>
        </is>
      </c>
      <c r="C40">
        <f> 13.5</f>
        <v/>
      </c>
      <c r="D40" s="1" t="n">
        <v>30</v>
      </c>
      <c r="E40" s="1">
        <f>C40*D40</f>
        <v/>
      </c>
      <c r="F40" t="b">
        <v>1</v>
      </c>
      <c r="G40" t="b">
        <v>1</v>
      </c>
      <c r="H40" s="11" t="inlineStr">
        <is>
          <t xml:space="preserve">Primer pago página web de Maria Jose Astro </t>
        </is>
      </c>
    </row>
    <row r="41">
      <c r="A41" t="inlineStr">
        <is>
          <t>Junio</t>
        </is>
      </c>
      <c r="B41" t="inlineStr">
        <is>
          <t>Yolanda Jarasclub</t>
        </is>
      </c>
      <c r="C41" t="n">
        <v>86.67</v>
      </c>
      <c r="D41" s="1" t="n">
        <v>30</v>
      </c>
      <c r="E41" s="1">
        <f>C41*D41</f>
        <v/>
      </c>
      <c r="F41" t="b">
        <v>1</v>
      </c>
      <c r="G41" t="b">
        <v>1</v>
      </c>
      <c r="H41" s="11" t="inlineStr">
        <is>
          <t>Segundo pago JarasClub Yolanda</t>
        </is>
      </c>
    </row>
    <row r="42">
      <c r="A42" t="inlineStr">
        <is>
          <t>Junio</t>
        </is>
      </c>
      <c r="B42" t="inlineStr">
        <is>
          <t>Qualitime</t>
        </is>
      </c>
      <c r="C42" t="n">
        <v>16</v>
      </c>
      <c r="D42" s="1" t="n">
        <v>30</v>
      </c>
      <c r="E42" s="1">
        <f>C42*D42</f>
        <v/>
      </c>
      <c r="F42" t="b">
        <v>1</v>
      </c>
      <c r="G42" t="b">
        <v>1</v>
      </c>
      <c r="H42" s="11" t="inlineStr">
        <is>
          <t>Diseño y desarrollo de página web Qualitime</t>
        </is>
      </c>
    </row>
    <row r="43">
      <c r="A43" t="inlineStr">
        <is>
          <t>Junio</t>
        </is>
      </c>
      <c r="B43" t="inlineStr">
        <is>
          <t>iSportCoach</t>
        </is>
      </c>
      <c r="C43" t="n">
        <v>50.1</v>
      </c>
      <c r="D43" s="1" t="n">
        <v>30</v>
      </c>
      <c r="E43" s="1">
        <f>C43*D43</f>
        <v/>
      </c>
      <c r="F43" t="b">
        <v>1</v>
      </c>
      <c r="G43" t="b">
        <v>1</v>
      </c>
      <c r="H43" t="inlineStr">
        <is>
          <t>Pago 1 — Inicio del Proyecto</t>
        </is>
      </c>
    </row>
    <row r="44" ht="14.45" customHeight="1" s="10">
      <c r="A44" t="inlineStr">
        <is>
          <t>Julio</t>
        </is>
      </c>
      <c r="B44" t="inlineStr">
        <is>
          <t>Travel Meet</t>
        </is>
      </c>
      <c r="C44" t="n">
        <v>82.8</v>
      </c>
      <c r="D44" s="1" t="n">
        <v>30</v>
      </c>
      <c r="E44" s="1">
        <f>C44*D44</f>
        <v/>
      </c>
      <c r="F44" t="b">
        <v>1</v>
      </c>
      <c r="G44" t="b">
        <v>1</v>
      </c>
      <c r="H44" s="11" t="inlineStr">
        <is>
          <t>Segundo pago de Travel Meet</t>
        </is>
      </c>
    </row>
    <row r="45" ht="14.25" customHeight="1" s="10">
      <c r="A45" t="inlineStr">
        <is>
          <t>Julio</t>
        </is>
      </c>
      <c r="B45" s="12" t="inlineStr">
        <is>
          <t>FUNDACION VISUAL TEAF</t>
        </is>
      </c>
      <c r="C45" t="n">
        <v>146.8</v>
      </c>
      <c r="D45" s="1" t="n">
        <v>30</v>
      </c>
      <c r="E45" s="1">
        <f>C45*D45</f>
        <v/>
      </c>
      <c r="F45" t="b">
        <v>1</v>
      </c>
      <c r="G45" t="b">
        <v>1</v>
      </c>
      <c r="H45" s="11" t="inlineStr">
        <is>
          <t xml:space="preserve">Segundo pago plataforma fundacion </t>
        </is>
      </c>
    </row>
    <row r="46">
      <c r="A46" t="inlineStr">
        <is>
          <t>Julio</t>
        </is>
      </c>
      <c r="B46" t="inlineStr">
        <is>
          <t>Qualitime</t>
        </is>
      </c>
      <c r="C46" t="n">
        <v>16</v>
      </c>
      <c r="D46" s="1" t="n">
        <v>30</v>
      </c>
      <c r="E46" s="1">
        <f>C46*D46</f>
        <v/>
      </c>
      <c r="F46" t="b">
        <v>1</v>
      </c>
      <c r="G46" t="b">
        <v>1</v>
      </c>
      <c r="H46" s="11" t="inlineStr">
        <is>
          <t>Diseño y desarrollo de página web Qualitime</t>
        </is>
      </c>
    </row>
    <row r="47">
      <c r="A47" t="inlineStr">
        <is>
          <t>Julio</t>
        </is>
      </c>
      <c r="B47" t="inlineStr">
        <is>
          <t>Diettest</t>
        </is>
      </c>
      <c r="C47">
        <f> 3 + (0/60)</f>
        <v/>
      </c>
      <c r="D47" s="1" t="n">
        <v>26</v>
      </c>
      <c r="E47" s="1">
        <f>C47*D47</f>
        <v/>
      </c>
      <c r="F47" t="b">
        <v>1</v>
      </c>
      <c r="G47" t="b">
        <v>1</v>
      </c>
      <c r="H47" s="11" t="inlineStr">
        <is>
          <t>Reunion para Tiktok + Marketing (1h) + Configuracion de Meta en Web (30min) + Cambios en la Web (1h 30min)</t>
        </is>
      </c>
    </row>
    <row r="48" ht="14.45" customHeight="1" s="10">
      <c r="A48" t="inlineStr">
        <is>
          <t>Julio</t>
        </is>
      </c>
      <c r="B48" t="inlineStr">
        <is>
          <t>Diettest</t>
        </is>
      </c>
      <c r="C48" t="n">
        <v>9</v>
      </c>
      <c r="D48" s="1" t="n">
        <v>30</v>
      </c>
      <c r="E48" s="1">
        <f>C48*D48</f>
        <v/>
      </c>
      <c r="F48" t="b">
        <v>1</v>
      </c>
      <c r="G48" t="b">
        <v>1</v>
      </c>
      <c r="H48" s="11" t="inlineStr">
        <is>
          <t>Fase 1 — Chatbot con plugin existente (opción básica)</t>
        </is>
      </c>
    </row>
    <row r="49" ht="14.25" customHeight="1" s="10">
      <c r="A49" t="inlineStr">
        <is>
          <t>Julio</t>
        </is>
      </c>
      <c r="B49" t="inlineStr">
        <is>
          <t>TEBORI BROWS</t>
        </is>
      </c>
      <c r="C49">
        <f> 26.22</f>
        <v/>
      </c>
      <c r="D49" s="1" t="n">
        <v>30</v>
      </c>
      <c r="E49" s="1">
        <f>C49*D49</f>
        <v/>
      </c>
      <c r="F49" t="b">
        <v>1</v>
      </c>
      <c r="G49" t="b">
        <v>1</v>
      </c>
      <c r="H49" s="11" t="inlineStr">
        <is>
          <t xml:space="preserve">Primer pago página web de Valentina </t>
        </is>
      </c>
    </row>
    <row r="50" ht="14.25" customHeight="1" s="10">
      <c r="A50" t="inlineStr">
        <is>
          <t>Julio</t>
        </is>
      </c>
      <c r="B50" t="inlineStr">
        <is>
          <t>Landing 2Connet</t>
        </is>
      </c>
      <c r="C50" t="n">
        <v>11</v>
      </c>
      <c r="D50" s="1" t="n">
        <v>30</v>
      </c>
      <c r="E50" s="1">
        <f>C50*D50</f>
        <v/>
      </c>
      <c r="F50" t="b">
        <v>1</v>
      </c>
      <c r="G50" t="b">
        <v>1</v>
      </c>
      <c r="H50" s="11" t="inlineStr">
        <is>
          <t xml:space="preserve">Pago Landing Page de 2Connect </t>
        </is>
      </c>
    </row>
    <row r="51" ht="14.25" customHeight="1" s="10">
      <c r="A51" t="inlineStr">
        <is>
          <t>Julio</t>
        </is>
      </c>
      <c r="B51" t="inlineStr">
        <is>
          <t>ALVAFARM ABOGADOS</t>
        </is>
      </c>
      <c r="C51" t="n">
        <v>3</v>
      </c>
      <c r="D51" s="1" t="n">
        <v>30</v>
      </c>
      <c r="E51" s="1">
        <f>C51*D51</f>
        <v/>
      </c>
      <c r="F51" t="b">
        <v>1</v>
      </c>
      <c r="G51" t="b">
        <v>1</v>
      </c>
      <c r="H51" s="11" t="inlineStr">
        <is>
          <t xml:space="preserve">Corrección de formulario de contacto </t>
        </is>
      </c>
    </row>
    <row r="52">
      <c r="A52" t="inlineStr">
        <is>
          <t>Julio</t>
        </is>
      </c>
      <c r="B52" t="inlineStr">
        <is>
          <t>Somos Aventura</t>
        </is>
      </c>
      <c r="C52" t="n">
        <v>60</v>
      </c>
      <c r="D52" s="1" t="n">
        <v>30</v>
      </c>
      <c r="E52" s="1">
        <f>C52*D52</f>
        <v/>
      </c>
      <c r="F52" t="b">
        <v>1</v>
      </c>
      <c r="G52" t="b">
        <v>1</v>
      </c>
      <c r="H52" s="11" t="inlineStr">
        <is>
          <t>Último Pago 2 Connect APP</t>
        </is>
      </c>
    </row>
    <row r="53">
      <c r="A53" t="inlineStr">
        <is>
          <t>Agosto</t>
        </is>
      </c>
      <c r="B53" t="inlineStr">
        <is>
          <t>iSportCoach</t>
        </is>
      </c>
      <c r="C53" t="n">
        <v>66.8</v>
      </c>
      <c r="D53" s="1" t="n">
        <v>30</v>
      </c>
      <c r="E53" s="1">
        <f>C53*D53</f>
        <v/>
      </c>
      <c r="F53" t="b">
        <v>1</v>
      </c>
      <c r="G53" t="b">
        <v>1</v>
      </c>
      <c r="H53" t="inlineStr">
        <is>
          <t>Pago 2 — Hito Central: Desarrollo del Catálogo</t>
        </is>
      </c>
    </row>
    <row r="54" ht="14.25" customHeight="1" s="10">
      <c r="A54" t="inlineStr">
        <is>
          <t>Agosto</t>
        </is>
      </c>
      <c r="B54" t="inlineStr">
        <is>
          <t>Diettest</t>
        </is>
      </c>
      <c r="C54">
        <f> 6 + (30/60)</f>
        <v/>
      </c>
      <c r="D54" s="1" t="n">
        <v>26</v>
      </c>
      <c r="E54" s="1">
        <f>C54*D54</f>
        <v/>
      </c>
      <c r="F54" t="b">
        <v>1</v>
      </c>
      <c r="G54" t="b">
        <v>1</v>
      </c>
      <c r="H54" s="11" t="inlineStr">
        <is>
          <t>Cambios en la Web (4h + 0min)</t>
        </is>
      </c>
    </row>
    <row r="55" ht="14.45" customHeight="1" s="10">
      <c r="A55" t="inlineStr">
        <is>
          <t>Agosto</t>
        </is>
      </c>
      <c r="B55" t="inlineStr">
        <is>
          <t>Dasana</t>
        </is>
      </c>
      <c r="C55" t="n">
        <v>10</v>
      </c>
      <c r="D55" s="1" t="n">
        <v>30</v>
      </c>
      <c r="E55" s="1">
        <f>C55*D55</f>
        <v/>
      </c>
      <c r="F55" t="b">
        <v>1</v>
      </c>
      <c r="G55" t="b">
        <v>1</v>
      </c>
      <c r="H55" s="11" t="inlineStr">
        <is>
          <t>Mantenimiento Dasana mes de Julio (PAGO NO REALIZADO EN JULIO)</t>
        </is>
      </c>
    </row>
    <row r="56" ht="14.45" customHeight="1" s="10">
      <c r="A56" t="inlineStr">
        <is>
          <t>Agosto</t>
        </is>
      </c>
      <c r="B56" t="inlineStr">
        <is>
          <t xml:space="preserve">Altitude zone SL </t>
        </is>
      </c>
      <c r="C56" t="n">
        <v>10</v>
      </c>
      <c r="D56" s="1" t="n">
        <v>30</v>
      </c>
      <c r="E56" s="1">
        <f>C56*D56</f>
        <v/>
      </c>
      <c r="F56" t="b">
        <v>1</v>
      </c>
      <c r="G56" t="b">
        <v>1</v>
      </c>
      <c r="H56" s="11" t="inlineStr">
        <is>
          <t>Mantenimiento ALTITUDE ZONE Web Septiembre</t>
        </is>
      </c>
    </row>
    <row r="57" ht="14.45" customHeight="1" s="10">
      <c r="A57" t="inlineStr">
        <is>
          <t>Agosto</t>
        </is>
      </c>
      <c r="B57" t="inlineStr">
        <is>
          <t>Plataforma Autismo</t>
        </is>
      </c>
      <c r="C57" t="n">
        <v>19.2</v>
      </c>
      <c r="D57" s="1" t="n">
        <v>30</v>
      </c>
      <c r="E57" s="1">
        <f>C57*D57</f>
        <v/>
      </c>
      <c r="F57" t="b">
        <v>1</v>
      </c>
      <c r="G57" t="b">
        <v>1</v>
      </c>
      <c r="H57" t="inlineStr">
        <is>
          <t>Hito 1 (30%) — Inicio del proyecto: alcance, UX/UI y base WordPress</t>
        </is>
      </c>
    </row>
    <row r="58" ht="14.25" customHeight="1" s="10">
      <c r="A58" t="inlineStr">
        <is>
          <t>Agosto</t>
        </is>
      </c>
      <c r="B58" s="9" t="inlineStr">
        <is>
          <t xml:space="preserve">PAVIMPRESOCAT </t>
        </is>
      </c>
      <c r="C58" t="n">
        <v>12.33</v>
      </c>
      <c r="D58" s="1" t="n">
        <v>30</v>
      </c>
      <c r="E58" s="1">
        <f>C58*D58</f>
        <v/>
      </c>
      <c r="F58" t="b">
        <v>1</v>
      </c>
      <c r="G58" t="b">
        <v>1</v>
      </c>
      <c r="H58" s="11" t="inlineStr">
        <is>
          <t xml:space="preserve">Pago página plantillas productos Amazon de PAVIMPRESOCAT  </t>
        </is>
      </c>
    </row>
    <row r="59">
      <c r="A59" t="inlineStr">
        <is>
          <t>Agosto</t>
        </is>
      </c>
      <c r="B59" t="inlineStr">
        <is>
          <t xml:space="preserve">2 Connect </t>
        </is>
      </c>
      <c r="C59">
        <f> 5.75</f>
        <v/>
      </c>
      <c r="D59" s="1" t="n">
        <v>30</v>
      </c>
      <c r="E59" s="1">
        <f>C59*D59</f>
        <v/>
      </c>
      <c r="F59" t="b">
        <v>1</v>
      </c>
      <c r="G59" t="b">
        <v>1</v>
      </c>
      <c r="H59" s="11" t="inlineStr">
        <is>
          <t>Funcionalidades nuevas en la app</t>
        </is>
      </c>
    </row>
    <row r="60" ht="14.45" customHeight="1" s="10">
      <c r="A60" t="inlineStr">
        <is>
          <t>Septiembre</t>
        </is>
      </c>
      <c r="B60" t="inlineStr">
        <is>
          <t>Plataforma Autismo</t>
        </is>
      </c>
      <c r="C60" t="n">
        <v>25.6</v>
      </c>
      <c r="D60" s="1" t="n">
        <v>30</v>
      </c>
      <c r="E60" s="1">
        <f>C60*D60</f>
        <v/>
      </c>
      <c r="F60" t="b">
        <v>1</v>
      </c>
      <c r="G60" t="b">
        <v>1</v>
      </c>
      <c r="H60" t="inlineStr">
        <is>
          <t>Hito 2 (40%) — Validación arquitectura: frontend base y modelo CPT</t>
        </is>
      </c>
    </row>
    <row r="61" ht="14.25" customHeight="1" s="10">
      <c r="A61" t="inlineStr">
        <is>
          <t>Septiembre</t>
        </is>
      </c>
      <c r="B61" s="9" t="inlineStr">
        <is>
          <t xml:space="preserve">PAVIMPRESOCAT </t>
        </is>
      </c>
      <c r="C61" t="n">
        <v>12.33</v>
      </c>
      <c r="D61" s="1" t="n">
        <v>30</v>
      </c>
      <c r="E61" s="1">
        <f>C61*D61</f>
        <v/>
      </c>
      <c r="F61" t="b">
        <v>1</v>
      </c>
      <c r="G61" t="b">
        <v>1</v>
      </c>
      <c r="H61" s="11" t="inlineStr">
        <is>
          <t xml:space="preserve">Pago página plantillas productos Amazon de PAVIMPRESOCAT  </t>
        </is>
      </c>
    </row>
    <row r="62">
      <c r="A62" t="inlineStr">
        <is>
          <t>Septiembre</t>
        </is>
      </c>
      <c r="B62" t="inlineStr">
        <is>
          <t xml:space="preserve">Opotecnia		</t>
        </is>
      </c>
      <c r="C62" t="n">
        <v>21</v>
      </c>
      <c r="D62" s="1" t="n">
        <v>30</v>
      </c>
      <c r="E62" s="1">
        <f>C62*D62</f>
        <v/>
      </c>
      <c r="F62" t="b">
        <v>1</v>
      </c>
      <c r="G62" t="b">
        <v>1</v>
      </c>
      <c r="H62" s="11" t="inlineStr">
        <is>
          <t>Hito 1 (30%) — Inicio: Paquete A + registro tokens + ajuste proxy</t>
        </is>
      </c>
    </row>
    <row r="63" ht="14.25" customHeight="1" s="10">
      <c r="A63" t="inlineStr">
        <is>
          <t>Septiembre</t>
        </is>
      </c>
      <c r="B63" s="12" t="inlineStr">
        <is>
          <t>FUNDACION VISUAL TEAF</t>
        </is>
      </c>
      <c r="C63" t="n">
        <v>110.1</v>
      </c>
      <c r="D63" s="1" t="n">
        <v>30</v>
      </c>
      <c r="E63" s="1">
        <f>C63*D63</f>
        <v/>
      </c>
      <c r="F63" t="b">
        <v>1</v>
      </c>
      <c r="G63" t="b">
        <v>1</v>
      </c>
      <c r="H63" s="11" t="inlineStr">
        <is>
          <t xml:space="preserve">Último pago plataforma fundacion </t>
        </is>
      </c>
    </row>
    <row r="64">
      <c r="A64" t="inlineStr">
        <is>
          <t>Septiembre</t>
        </is>
      </c>
      <c r="B64" t="inlineStr">
        <is>
          <t>Manuel Zafra Moral</t>
        </is>
      </c>
      <c r="C64" t="n">
        <v>9.6</v>
      </c>
      <c r="D64" s="1" t="n">
        <v>30</v>
      </c>
      <c r="E64" s="1">
        <f>C64*D64</f>
        <v/>
      </c>
      <c r="F64" t="b">
        <v>1</v>
      </c>
      <c r="G64" t="b">
        <v>1</v>
      </c>
      <c r="H64" s="11" t="inlineStr">
        <is>
          <t>Hito 1 (30%) — Inicio del Proyecto</t>
        </is>
      </c>
    </row>
    <row r="65" ht="14.25" customHeight="1" s="10">
      <c r="A65" t="inlineStr">
        <is>
          <t>Septiembre</t>
        </is>
      </c>
      <c r="B65" t="inlineStr">
        <is>
          <t>ALVAFARM ABOGADOS</t>
        </is>
      </c>
      <c r="C65" t="n">
        <v>4</v>
      </c>
      <c r="D65" s="1" t="n">
        <v>30</v>
      </c>
      <c r="E65" s="1">
        <f>C65*D65</f>
        <v/>
      </c>
      <c r="F65" t="b">
        <v>1</v>
      </c>
      <c r="G65" t="b">
        <v>1</v>
      </c>
      <c r="H65" s="11" t="inlineStr">
        <is>
          <t>Plugin de portada y cookies</t>
        </is>
      </c>
    </row>
    <row r="66" ht="13.5" customHeight="1" s="10">
      <c r="A66" t="inlineStr">
        <is>
          <t>Septiembre</t>
        </is>
      </c>
      <c r="B66" s="12" t="inlineStr">
        <is>
          <t>PERSONAL DELTA</t>
        </is>
      </c>
      <c r="C66" t="n">
        <v>24</v>
      </c>
      <c r="D66" s="1" t="n">
        <v>30</v>
      </c>
      <c r="E66" s="1">
        <f>C66*D66</f>
        <v/>
      </c>
      <c r="F66" t="b">
        <v>1</v>
      </c>
      <c r="G66" t="b">
        <v>1</v>
      </c>
      <c r="H66" t="inlineStr">
        <is>
          <t>Hito 1 — Inicio</t>
        </is>
      </c>
    </row>
    <row r="67" ht="14.25" customHeight="1" s="10">
      <c r="A67" t="inlineStr">
        <is>
          <t>Septiembre</t>
        </is>
      </c>
      <c r="B67" t="inlineStr">
        <is>
          <t>Clean Sunny</t>
        </is>
      </c>
      <c r="C67" t="n">
        <v>43.33</v>
      </c>
      <c r="D67" s="1" t="n">
        <v>30</v>
      </c>
      <c r="E67" s="1">
        <f>C67*D67</f>
        <v/>
      </c>
      <c r="F67" t="b">
        <v>1</v>
      </c>
      <c r="G67" t="b">
        <v>1</v>
      </c>
      <c r="H67" s="11" t="inlineStr">
        <is>
          <t xml:space="preserve">Primer pago página web de Clean Sunny en Astro </t>
        </is>
      </c>
    </row>
    <row r="68" ht="13.5" customHeight="1" s="10">
      <c r="A68" t="inlineStr">
        <is>
          <t>Septiembre</t>
        </is>
      </c>
      <c r="B68" s="12" t="inlineStr">
        <is>
          <t>Clean Sunny</t>
        </is>
      </c>
      <c r="C68">
        <f> 1 + (15/60)</f>
        <v/>
      </c>
      <c r="D68" s="1" t="n">
        <v>30</v>
      </c>
      <c r="E68" s="1">
        <f>C68*D68</f>
        <v/>
      </c>
      <c r="F68" t="b">
        <v>0</v>
      </c>
      <c r="G68" t="b">
        <v>0</v>
      </c>
      <c r="H68" t="inlineStr">
        <is>
          <t>Solucion de numero telefono (15 mins) + Página de gracias (1h)</t>
        </is>
      </c>
    </row>
    <row r="69" ht="13.5" customHeight="1" s="10">
      <c r="A69" t="inlineStr">
        <is>
          <t>Septiembre</t>
        </is>
      </c>
      <c r="B69" t="inlineStr">
        <is>
          <t>Adrián González González</t>
        </is>
      </c>
      <c r="C69" t="n">
        <v>7.5</v>
      </c>
      <c r="D69" s="1" t="n">
        <v>30</v>
      </c>
      <c r="E69" s="1">
        <f>C69*D69</f>
        <v/>
      </c>
      <c r="F69" t="b">
        <v>1</v>
      </c>
      <c r="G69" t="b">
        <v>1</v>
      </c>
      <c r="H69" t="inlineStr">
        <is>
          <t>Desarrollo web RodaParc — primer pago (50 %) a cuenta del proyecto</t>
        </is>
      </c>
    </row>
    <row r="70" ht="13.5" customHeight="1" s="10">
      <c r="A70" t="inlineStr">
        <is>
          <t>Septiembre</t>
        </is>
      </c>
      <c r="B70" s="13" t="inlineStr">
        <is>
          <t>ArtCuria SLU</t>
        </is>
      </c>
      <c r="C70" t="n">
        <v>26</v>
      </c>
      <c r="D70" s="1" t="n">
        <v>30</v>
      </c>
      <c r="E70" s="1">
        <f>C70*D70</f>
        <v/>
      </c>
      <c r="F70" t="b">
        <v>1</v>
      </c>
      <c r="G70" t="b">
        <v>1</v>
      </c>
      <c r="H70" t="inlineStr">
        <is>
          <t>Desarrollo PharmaVenue ArtCuria SL — primer pago (50 %) a cuenta del proyecto</t>
        </is>
      </c>
    </row>
    <row r="71">
      <c r="A71" t="inlineStr">
        <is>
          <t>Octubre</t>
        </is>
      </c>
      <c r="B71" t="inlineStr">
        <is>
          <t>Somos Aventura</t>
        </is>
      </c>
      <c r="C71">
        <f> 72.83</f>
        <v/>
      </c>
      <c r="D71" s="1" t="n">
        <v>30</v>
      </c>
      <c r="E71" s="1">
        <f>C71*D71</f>
        <v/>
      </c>
      <c r="F71" t="b">
        <v>0</v>
      </c>
      <c r="G71" t="b">
        <v>0</v>
      </c>
      <c r="H71" s="11" t="inlineStr">
        <is>
          <t>Último Pago 2 Connect APP</t>
        </is>
      </c>
    </row>
    <row r="72" ht="14.45" customHeight="1" s="10">
      <c r="A72" t="inlineStr">
        <is>
          <t>Octubre</t>
        </is>
      </c>
      <c r="B72" t="inlineStr">
        <is>
          <t>Plataforma Autismo</t>
        </is>
      </c>
      <c r="C72" t="n">
        <v>19.2</v>
      </c>
      <c r="D72" s="1" t="n">
        <v>30</v>
      </c>
      <c r="E72" s="1">
        <f>C72*D72</f>
        <v/>
      </c>
      <c r="F72" t="b">
        <v>0</v>
      </c>
      <c r="G72" t="b">
        <v>0</v>
      </c>
      <c r="H72" t="inlineStr">
        <is>
          <t>Hito 3 (30%) — Entrega final: buscador, comunidad, reservas y producción</t>
        </is>
      </c>
    </row>
    <row r="73" ht="14.45" customHeight="1" s="10">
      <c r="A73" t="inlineStr">
        <is>
          <t>Octubre</t>
        </is>
      </c>
      <c r="B73" t="inlineStr">
        <is>
          <t>Diettest</t>
        </is>
      </c>
      <c r="C73" t="n">
        <v>66.69</v>
      </c>
      <c r="D73" s="1" t="n">
        <v>26</v>
      </c>
      <c r="E73" s="1">
        <f>C73*D73</f>
        <v/>
      </c>
      <c r="F73" t="b">
        <v>0</v>
      </c>
      <c r="G73" t="b">
        <v>0</v>
      </c>
      <c r="H73" s="11" t="inlineStr">
        <is>
          <t>Tercer pago de desarrollo software Diettest</t>
        </is>
      </c>
    </row>
    <row r="74">
      <c r="A74" t="inlineStr">
        <is>
          <t>Octubre</t>
        </is>
      </c>
      <c r="B74" t="inlineStr">
        <is>
          <t>Manuel Zafra Moral</t>
        </is>
      </c>
      <c r="C74" t="n">
        <v>9.6</v>
      </c>
      <c r="D74" s="1" t="n">
        <v>30</v>
      </c>
      <c r="E74" s="1">
        <f>C74*D74</f>
        <v/>
      </c>
      <c r="F74" t="b">
        <v>0</v>
      </c>
      <c r="G74" t="b">
        <v>0</v>
      </c>
      <c r="H74" s="11" t="inlineStr">
        <is>
          <t>Hito 2 (40%)</t>
        </is>
      </c>
    </row>
    <row r="75" ht="13.5" customHeight="1" s="10">
      <c r="A75" t="inlineStr">
        <is>
          <t>Octubre</t>
        </is>
      </c>
      <c r="B75" s="12" t="inlineStr">
        <is>
          <t>PERSONAL DELTA</t>
        </is>
      </c>
      <c r="C75" t="n">
        <v>32</v>
      </c>
      <c r="D75" s="1" t="n">
        <v>30</v>
      </c>
      <c r="E75" s="1">
        <f>C75*D75</f>
        <v/>
      </c>
      <c r="F75" t="b">
        <v>0</v>
      </c>
      <c r="G75" t="b">
        <v>0</v>
      </c>
      <c r="H75" t="inlineStr">
        <is>
          <t>Hito 2 — Validación</t>
        </is>
      </c>
    </row>
    <row r="76" ht="14.45" customHeight="1" s="10">
      <c r="A76" t="inlineStr">
        <is>
          <t>Octubre</t>
        </is>
      </c>
      <c r="B76" t="inlineStr">
        <is>
          <t>Travel Meet</t>
        </is>
      </c>
      <c r="C76" t="n">
        <v>62.1</v>
      </c>
      <c r="D76" s="1" t="n">
        <v>30</v>
      </c>
      <c r="E76" s="1">
        <f>C76*D76</f>
        <v/>
      </c>
      <c r="F76" t="b">
        <v>0</v>
      </c>
      <c r="G76" t="b">
        <v>0</v>
      </c>
      <c r="H76" s="11" t="inlineStr">
        <is>
          <t xml:space="preserve">Último Pago de Travel Meet </t>
        </is>
      </c>
    </row>
    <row r="77">
      <c r="A77" t="inlineStr">
        <is>
          <t>Octubre</t>
        </is>
      </c>
      <c r="B77" t="inlineStr">
        <is>
          <t>Yolanda Jarasclub</t>
        </is>
      </c>
      <c r="C77" t="n">
        <v>65</v>
      </c>
      <c r="D77" s="1" t="n">
        <v>30</v>
      </c>
      <c r="E77" s="1">
        <f>C77*D77</f>
        <v/>
      </c>
      <c r="F77" t="b">
        <v>0</v>
      </c>
      <c r="G77" t="b">
        <v>0</v>
      </c>
      <c r="H77" s="11" t="inlineStr">
        <is>
          <t>Tercer pago JarasClub Yolanda</t>
        </is>
      </c>
    </row>
    <row r="78" ht="14.25" customHeight="1" s="10">
      <c r="A78" t="inlineStr">
        <is>
          <t>Octubre</t>
        </is>
      </c>
      <c r="B78" t="inlineStr">
        <is>
          <t>Clean Sunny</t>
        </is>
      </c>
      <c r="C78" t="n">
        <v>43.33</v>
      </c>
      <c r="D78" s="1" t="n">
        <v>30</v>
      </c>
      <c r="E78" s="1">
        <f>C78*D78</f>
        <v/>
      </c>
      <c r="F78" t="b">
        <v>0</v>
      </c>
      <c r="G78" t="b">
        <v>0</v>
      </c>
      <c r="H78" s="11" t="inlineStr">
        <is>
          <t xml:space="preserve">Úlitimo pago página web de Clean Sunny en Astro </t>
        </is>
      </c>
    </row>
    <row r="79">
      <c r="A79" t="inlineStr">
        <is>
          <t>Octubre</t>
        </is>
      </c>
      <c r="B79" t="inlineStr">
        <is>
          <t>iSportCoach</t>
        </is>
      </c>
      <c r="C79" t="n">
        <v>50.1</v>
      </c>
      <c r="D79" s="1" t="n">
        <v>30</v>
      </c>
      <c r="E79" s="1">
        <f>C79*D79</f>
        <v/>
      </c>
      <c r="F79" t="b">
        <v>0</v>
      </c>
      <c r="G79" t="b">
        <v>0</v>
      </c>
      <c r="H79" t="inlineStr">
        <is>
          <t>Pago 3 — Cierre y Satisfacción</t>
        </is>
      </c>
    </row>
    <row r="80" ht="13.5" customHeight="1" s="10">
      <c r="A80" t="inlineStr">
        <is>
          <t>Octubre</t>
        </is>
      </c>
      <c r="B80" t="inlineStr">
        <is>
          <t>Adrián González González</t>
        </is>
      </c>
      <c r="C80" t="n">
        <v>7.5</v>
      </c>
      <c r="D80" s="1" t="n">
        <v>30</v>
      </c>
      <c r="E80" s="1">
        <f>C80*D80</f>
        <v/>
      </c>
      <c r="F80" t="b">
        <v>0</v>
      </c>
      <c r="G80" t="b">
        <v>0</v>
      </c>
      <c r="H80" t="inlineStr">
        <is>
          <t>Desarrollo web RodaParc — Último pago (50 %) a cuenta del proyecto</t>
        </is>
      </c>
    </row>
    <row r="81" ht="14.25" customHeight="1" s="10">
      <c r="A81" t="inlineStr">
        <is>
          <t>Octubre</t>
        </is>
      </c>
      <c r="B81" t="inlineStr">
        <is>
          <t>TEBORI BROWS</t>
        </is>
      </c>
      <c r="C81">
        <f> 26.22</f>
        <v/>
      </c>
      <c r="D81" s="1" t="n">
        <v>30</v>
      </c>
      <c r="E81" s="1">
        <f>C81*D81</f>
        <v/>
      </c>
      <c r="F81" t="b">
        <v>1</v>
      </c>
      <c r="G81" t="b">
        <v>0</v>
      </c>
      <c r="H81" s="11" t="inlineStr">
        <is>
          <t xml:space="preserve">Segundo pago página web de Valentina </t>
        </is>
      </c>
    </row>
    <row r="82" ht="13.5" customHeight="1" s="10">
      <c r="A82" t="inlineStr">
        <is>
          <t>Octubre</t>
        </is>
      </c>
      <c r="B82" s="13" t="inlineStr">
        <is>
          <t>ArtCuria SLU</t>
        </is>
      </c>
      <c r="C82" t="n">
        <v>26</v>
      </c>
      <c r="D82" s="1" t="n">
        <v>30</v>
      </c>
      <c r="E82" s="1">
        <f>C82*D82</f>
        <v/>
      </c>
      <c r="F82" t="b">
        <v>0</v>
      </c>
      <c r="G82" t="b">
        <v>0</v>
      </c>
      <c r="H82" t="inlineStr">
        <is>
          <t>Desarrollo PharmaVenue ArtCuria SL — Último pago (50 %) a cuenta del proyecto</t>
        </is>
      </c>
    </row>
    <row r="83" ht="14.45" customHeight="1" s="10">
      <c r="A83" t="inlineStr">
        <is>
          <t>Octubre</t>
        </is>
      </c>
      <c r="B83" t="inlineStr">
        <is>
          <t>Diettest</t>
        </is>
      </c>
      <c r="C83" t="n">
        <v>21</v>
      </c>
      <c r="D83" s="1" t="n">
        <v>30</v>
      </c>
      <c r="E83" s="1">
        <f>C83*D83</f>
        <v/>
      </c>
      <c r="F83" t="b">
        <v>0</v>
      </c>
      <c r="G83" t="b">
        <v>0</v>
      </c>
      <c r="H83" t="inlineStr">
        <is>
          <t>Fase 2 — Plugin personalizado RAG (opción avanzada, opcional)</t>
        </is>
      </c>
    </row>
    <row r="84" ht="14.45" customHeight="1" s="10">
      <c r="A84" t="inlineStr">
        <is>
          <t>Octubre</t>
        </is>
      </c>
      <c r="B84" t="inlineStr">
        <is>
          <t>Diettest</t>
        </is>
      </c>
      <c r="C84" t="n">
        <v>15</v>
      </c>
      <c r="D84" s="1" t="n">
        <v>30</v>
      </c>
      <c r="E84" s="1">
        <f>C84*D84</f>
        <v/>
      </c>
      <c r="F84" t="b">
        <v>0</v>
      </c>
      <c r="G84" t="b">
        <v>0</v>
      </c>
      <c r="H84" t="inlineStr">
        <is>
          <t>Fase 3 — Automatización marketing y operación (opcional)</t>
        </is>
      </c>
    </row>
    <row r="85">
      <c r="A85" t="inlineStr">
        <is>
          <t>Octubre</t>
        </is>
      </c>
      <c r="B85" t="inlineStr">
        <is>
          <t xml:space="preserve">Opotecnia		</t>
        </is>
      </c>
      <c r="C85" t="n">
        <v>28</v>
      </c>
      <c r="D85" s="1" t="n">
        <v>30</v>
      </c>
      <c r="E85" s="1">
        <f>C85*D85</f>
        <v/>
      </c>
      <c r="F85" t="b">
        <v>0</v>
      </c>
      <c r="G85" t="b">
        <v>0</v>
      </c>
      <c r="H85" s="11" t="inlineStr">
        <is>
          <t>Hito 2 (40%) — Stripe y seguridad validados en modo test</t>
        </is>
      </c>
    </row>
    <row r="86">
      <c r="A86" t="inlineStr">
        <is>
          <t>Noviembre</t>
        </is>
      </c>
      <c r="B86" t="inlineStr">
        <is>
          <t xml:space="preserve">Opotecnia		</t>
        </is>
      </c>
      <c r="C86" t="n">
        <v>21</v>
      </c>
      <c r="D86" s="1" t="n">
        <v>30</v>
      </c>
      <c r="E86" s="1">
        <f>C86*D86</f>
        <v/>
      </c>
      <c r="F86" t="b">
        <v>0</v>
      </c>
      <c r="G86" t="b">
        <v>0</v>
      </c>
      <c r="H86" s="11" t="inlineStr">
        <is>
          <t>Hito 3 (30%) — Entrega en producción y cierre</t>
        </is>
      </c>
    </row>
    <row r="87">
      <c r="A87" t="inlineStr">
        <is>
          <t>Noviembre</t>
        </is>
      </c>
      <c r="B87" t="inlineStr">
        <is>
          <t>Manuel Zafra Moral</t>
        </is>
      </c>
      <c r="C87" t="n">
        <v>9.6</v>
      </c>
      <c r="D87" s="1" t="n">
        <v>30</v>
      </c>
      <c r="E87" s="1">
        <f>C87*D87</f>
        <v/>
      </c>
      <c r="F87" t="b">
        <v>0</v>
      </c>
      <c r="G87" t="b">
        <v>0</v>
      </c>
      <c r="H87" s="11" t="inlineStr">
        <is>
          <t>Hito 3 (30%)</t>
        </is>
      </c>
    </row>
    <row r="88" ht="13.5" customHeight="1" s="10">
      <c r="A88" t="inlineStr">
        <is>
          <t>Noviembre</t>
        </is>
      </c>
      <c r="B88" s="12" t="inlineStr">
        <is>
          <t>PERSONAL DELTA</t>
        </is>
      </c>
      <c r="C88" t="n">
        <v>24</v>
      </c>
      <c r="D88" s="1" t="n">
        <v>30</v>
      </c>
      <c r="E88" s="1">
        <f>C88*D88</f>
        <v/>
      </c>
      <c r="F88" t="b">
        <v>0</v>
      </c>
      <c r="G88" t="b">
        <v>0</v>
      </c>
      <c r="H88" t="inlineStr">
        <is>
          <t>Hito 3 — Entrega</t>
        </is>
      </c>
    </row>
    <row r="89">
      <c r="A89" t="inlineStr">
        <is>
          <t>Septiembre</t>
        </is>
      </c>
      <c r="B89" t="inlineStr">
        <is>
          <t>Funciona Ya</t>
        </is>
      </c>
      <c r="C89" t="n">
        <v>30</v>
      </c>
      <c r="D89" t="n">
        <v>30</v>
      </c>
      <c r="E89" t="n">
        <v>900</v>
      </c>
      <c r="F89" t="b">
        <v>1</v>
      </c>
      <c r="G89" t="b">
        <v>1</v>
      </c>
      <c r="H89" t="inlineStr">
        <is>
          <t>Hito 1 (30 %) inicio PWA</t>
        </is>
      </c>
    </row>
    <row r="90">
      <c r="A90" t="inlineStr">
        <is>
          <t>Octubre</t>
        </is>
      </c>
      <c r="B90" t="inlineStr">
        <is>
          <t>Funciona Ya</t>
        </is>
      </c>
      <c r="C90" t="n">
        <v>40</v>
      </c>
      <c r="D90" t="n">
        <v>30</v>
      </c>
      <c r="E90" t="n">
        <v>1200</v>
      </c>
      <c r="F90" t="b">
        <v>0</v>
      </c>
      <c r="G90" t="b">
        <v>0</v>
      </c>
      <c r="H90" t="inlineStr">
        <is>
          <t>Hito 2 (40 %) solicitud, propuesta y chat</t>
        </is>
      </c>
    </row>
    <row r="91">
      <c r="A91" t="inlineStr">
        <is>
          <t>Noviembre</t>
        </is>
      </c>
      <c r="B91" t="inlineStr">
        <is>
          <t>Funciona Ya</t>
        </is>
      </c>
      <c r="C91" t="n">
        <v>30</v>
      </c>
      <c r="D91" t="n">
        <v>30</v>
      </c>
      <c r="E91" t="n">
        <v>900</v>
      </c>
      <c r="F91" t="b">
        <v>0</v>
      </c>
      <c r="G91" t="b">
        <v>0</v>
      </c>
      <c r="H91" t="inlineStr">
        <is>
          <t>Hito 3 (30 %) entrega</t>
        </is>
      </c>
    </row>
  </sheetData>
  <autoFilter ref="A1:E1"/>
  <dataValidations count="1">
    <dataValidation sqref="A2:A59 A60:A88" showDropDown="0" showInputMessage="1" showErrorMessage="1" allowBlank="1" type="list">
      <formula1>"Enero,Febrero,Marzo,Abril,Mayo,Junio,Julio,Agosto,Septiembre,Octubre,Noviembre,Diciembre"</formula1>
    </dataValidation>
  </dataValidations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I15"/>
  <sheetViews>
    <sheetView zoomScaleNormal="100" workbookViewId="0">
      <selection activeCell="B15" sqref="B15"/>
    </sheetView>
  </sheetViews>
  <sheetFormatPr baseColWidth="10" defaultColWidth="16.140625" defaultRowHeight="15"/>
  <cols>
    <col width="16.140625" customWidth="1" style="1" min="2" max="6"/>
  </cols>
  <sheetData>
    <row r="1" customFormat="1" s="6">
      <c r="A1" s="5" t="inlineStr">
        <is>
          <t>Mes</t>
        </is>
      </c>
      <c r="B1" s="8" t="inlineStr">
        <is>
          <t>Ingresos Totales</t>
        </is>
      </c>
      <c r="C1" s="8" t="inlineStr">
        <is>
          <t>IVA (21%)</t>
        </is>
      </c>
      <c r="D1" s="8" t="inlineStr">
        <is>
          <t>Cuota Autónomos</t>
        </is>
      </c>
      <c r="E1" s="8" t="inlineStr">
        <is>
          <t>Otros Gastos</t>
        </is>
      </c>
      <c r="F1" s="8" t="inlineStr">
        <is>
          <t>Beneficio Neto</t>
        </is>
      </c>
      <c r="H1" s="8" t="inlineStr">
        <is>
          <t>IRPF MENSUAL</t>
        </is>
      </c>
    </row>
    <row r="2">
      <c r="A2" t="inlineStr">
        <is>
          <t>Enero</t>
        </is>
      </c>
      <c r="B2" s="1">
        <f>SUMIF(Registro_Horas!A:A,A2,Registro_Horas!E:E)</f>
        <v/>
      </c>
      <c r="C2" s="1">
        <f>(B2*0.21) - (110*0.21)</f>
        <v/>
      </c>
      <c r="D2" s="1" t="n">
        <v>205</v>
      </c>
      <c r="E2" s="1" t="n">
        <v>390</v>
      </c>
      <c r="F2" s="1">
        <f>B2-D2-E2-H2</f>
        <v/>
      </c>
      <c r="H2" s="1">
        <f> (B2 * 0.07) - (110*0.07)</f>
        <v/>
      </c>
    </row>
    <row r="3">
      <c r="A3" t="inlineStr">
        <is>
          <t>Febrero</t>
        </is>
      </c>
      <c r="B3" s="1">
        <f>SUMIF(Registro_Horas!A:A,A3,Registro_Horas!E:E)</f>
        <v/>
      </c>
      <c r="C3" s="1">
        <f>B3*0.21</f>
        <v/>
      </c>
      <c r="D3" s="1" t="n">
        <v>205</v>
      </c>
      <c r="E3" s="1" t="n">
        <v>390</v>
      </c>
      <c r="F3" s="1">
        <f>B3-D3-E3-H3</f>
        <v/>
      </c>
      <c r="H3" s="1">
        <f> B3 * 0.07</f>
        <v/>
      </c>
    </row>
    <row r="4">
      <c r="A4" t="inlineStr">
        <is>
          <t>Marzo</t>
        </is>
      </c>
      <c r="B4" s="1">
        <f>SUMIF(Registro_Horas!A:A,A4,Registro_Horas!E:E)</f>
        <v/>
      </c>
      <c r="C4" s="1">
        <f>B4*0.21</f>
        <v/>
      </c>
      <c r="D4" s="1" t="n">
        <v>205</v>
      </c>
      <c r="E4" s="1" t="n">
        <v>390</v>
      </c>
      <c r="F4" s="1">
        <f>B4-D4-E4-H4</f>
        <v/>
      </c>
      <c r="H4" s="1">
        <f> B4 * 0.07</f>
        <v/>
      </c>
    </row>
    <row r="5">
      <c r="A5" t="inlineStr">
        <is>
          <t>Abril</t>
        </is>
      </c>
      <c r="B5" s="1">
        <f>SUMIF(Registro_Horas!A:A,A5,Registro_Horas!E:E)</f>
        <v/>
      </c>
      <c r="C5" s="1">
        <f>B5*0.21</f>
        <v/>
      </c>
      <c r="D5" s="1" t="n">
        <v>205</v>
      </c>
      <c r="E5" s="1" t="n">
        <v>390</v>
      </c>
      <c r="F5" s="1">
        <f>B5-D5-E5-H5</f>
        <v/>
      </c>
      <c r="H5" s="1">
        <f> B5 * 0.07</f>
        <v/>
      </c>
    </row>
    <row r="6">
      <c r="A6" t="inlineStr">
        <is>
          <t>Mayo</t>
        </is>
      </c>
      <c r="B6" s="1">
        <f>SUMIF(Registro_Horas!A:A,A6,Registro_Horas!E:E)</f>
        <v/>
      </c>
      <c r="C6" s="1">
        <f>B6*0.21</f>
        <v/>
      </c>
      <c r="D6" s="1" t="n">
        <v>205</v>
      </c>
      <c r="E6" s="1" t="n">
        <v>390</v>
      </c>
      <c r="F6" s="1">
        <f>B6-D6-E6-H6</f>
        <v/>
      </c>
      <c r="H6" s="1">
        <f> B6 * 0.07</f>
        <v/>
      </c>
    </row>
    <row r="7">
      <c r="A7" t="inlineStr">
        <is>
          <t>Junio</t>
        </is>
      </c>
      <c r="B7" s="1">
        <f>SUMIF(Registro_Horas!A:A,A7,Registro_Horas!E:E)</f>
        <v/>
      </c>
      <c r="C7" s="1">
        <f>B7*0.21</f>
        <v/>
      </c>
      <c r="D7" s="1" t="n">
        <v>205</v>
      </c>
      <c r="E7" s="1" t="n">
        <v>390</v>
      </c>
      <c r="F7" s="1">
        <f>B7-D7-E7-H7</f>
        <v/>
      </c>
      <c r="H7" s="1">
        <f> B7 * 0.07</f>
        <v/>
      </c>
    </row>
    <row r="8">
      <c r="A8" t="inlineStr">
        <is>
          <t>Julio</t>
        </is>
      </c>
      <c r="B8" s="1">
        <f>SUMIF(Registro_Horas!A:A,A8,Registro_Horas!E:E)</f>
        <v/>
      </c>
      <c r="C8" s="1">
        <f>B8*0.21</f>
        <v/>
      </c>
      <c r="D8" s="1" t="n">
        <v>205</v>
      </c>
      <c r="E8" s="1" t="n">
        <v>390</v>
      </c>
      <c r="F8" s="1">
        <f>B8-D8-E8-H8</f>
        <v/>
      </c>
      <c r="H8" s="1">
        <f> B8 * 0.07</f>
        <v/>
      </c>
    </row>
    <row r="9">
      <c r="A9" t="inlineStr">
        <is>
          <t>Agosto</t>
        </is>
      </c>
      <c r="B9" s="1">
        <f>SUMIF(Registro_Horas!A:A,A9,Registro_Horas!E:E)</f>
        <v/>
      </c>
      <c r="C9" s="1">
        <f>B9*0.21</f>
        <v/>
      </c>
      <c r="D9" s="1" t="n">
        <v>205</v>
      </c>
      <c r="E9" s="1" t="n">
        <v>390</v>
      </c>
      <c r="F9" s="1">
        <f>B9-D9-E9-H9</f>
        <v/>
      </c>
      <c r="H9" s="1">
        <f> B9 * 0.07</f>
        <v/>
      </c>
    </row>
    <row r="10">
      <c r="A10" t="inlineStr">
        <is>
          <t>Septiembre</t>
        </is>
      </c>
      <c r="B10" s="1">
        <f>SUMIF(Registro_Horas!A:A,A10,Registro_Horas!E:E)</f>
        <v/>
      </c>
      <c r="C10" s="1">
        <f>B10*0.21</f>
        <v/>
      </c>
      <c r="F10" s="1">
        <f>B10-D10-E10-H10</f>
        <v/>
      </c>
      <c r="H10" s="1">
        <f> B10 * 0.07</f>
        <v/>
      </c>
    </row>
    <row r="11">
      <c r="A11" t="inlineStr">
        <is>
          <t>Octubre</t>
        </is>
      </c>
      <c r="B11" s="1">
        <f>SUMIF(Registro_Horas!A:A,A11,Registro_Horas!E:E)</f>
        <v/>
      </c>
      <c r="C11" s="1">
        <f>B11*0.21</f>
        <v/>
      </c>
      <c r="F11" s="1">
        <f>B11-D11-E11-H11</f>
        <v/>
      </c>
      <c r="H11" s="1">
        <f> B11 * 0.07</f>
        <v/>
      </c>
    </row>
    <row r="12">
      <c r="A12" t="inlineStr">
        <is>
          <t>Noviembre</t>
        </is>
      </c>
      <c r="B12" s="1">
        <f>SUMIF(Registro_Horas!A:A,A12,Registro_Horas!E:E)</f>
        <v/>
      </c>
      <c r="C12" s="1">
        <f>B12*0.21</f>
        <v/>
      </c>
      <c r="F12" s="1">
        <f>B12-D12-E12-H12</f>
        <v/>
      </c>
      <c r="H12" s="1">
        <f> B12 * 0.07</f>
        <v/>
      </c>
      <c r="I12" s="4" t="n"/>
    </row>
    <row r="13">
      <c r="A13" t="inlineStr">
        <is>
          <t>Diciembre</t>
        </is>
      </c>
      <c r="B13" s="1">
        <f>SUMIF(Registro_Horas!A:A,A13,Registro_Horas!E:E)</f>
        <v/>
      </c>
      <c r="C13" s="1">
        <f>B13*0.21</f>
        <v/>
      </c>
      <c r="F13" s="1">
        <f>B13-D13-E13-H13</f>
        <v/>
      </c>
      <c r="H13" s="1">
        <f> B13 * 0.07</f>
        <v/>
      </c>
    </row>
    <row r="14">
      <c r="H14" s="1" t="n"/>
    </row>
    <row r="15">
      <c r="A15" s="2" t="inlineStr">
        <is>
          <t>TOTAL ANUAL</t>
        </is>
      </c>
      <c r="B15" s="1">
        <f>SUM(B2:B13)</f>
        <v/>
      </c>
      <c r="C15" s="1">
        <f>SUM(C2:C13)</f>
        <v/>
      </c>
      <c r="D15" s="1">
        <f>SUM(D2:D13)</f>
        <v/>
      </c>
      <c r="F15" s="3">
        <f>SUM(F2:F13)</f>
        <v/>
      </c>
      <c r="H15" s="1">
        <f>SUM(H2:H13)</f>
        <v/>
      </c>
    </row>
  </sheetData>
  <pageMargins left="0.7" right="0.7" top="0.75" bottom="0.75" header="0.3" footer="0.3"/>
  <pageSetup orientation="landscape" paperSize="9"/>
</worksheet>
</file>

<file path=xl/worksheets/sheet3.xml><?xml version="1.0" encoding="utf-8"?>
<worksheet xmlns="http://schemas.openxmlformats.org/spreadsheetml/2006/main">
  <sheetPr codeName="Hoja3">
    <outlinePr summaryBelow="1" summaryRight="1"/>
    <pageSetUpPr/>
  </sheetPr>
  <dimension ref="A1:B6"/>
  <sheetViews>
    <sheetView workbookViewId="0">
      <selection activeCell="B4" sqref="B4"/>
    </sheetView>
  </sheetViews>
  <sheetFormatPr baseColWidth="10" defaultRowHeight="15"/>
  <cols>
    <col width="15.28515625" bestFit="1" customWidth="1" style="10" min="1" max="1"/>
    <col width="10.42578125" bestFit="1" customWidth="1" style="10" min="2" max="2"/>
  </cols>
  <sheetData>
    <row r="1">
      <c r="A1" s="2" t="inlineStr">
        <is>
          <t>RESUMEN ANUAL</t>
        </is>
      </c>
    </row>
    <row r="3">
      <c r="A3" t="inlineStr">
        <is>
          <t>Total Ingresos:</t>
        </is>
      </c>
      <c r="B3" s="1">
        <f>SUM(Resumen_Mensual!B2:B13)</f>
        <v/>
      </c>
    </row>
    <row r="4">
      <c r="A4" t="inlineStr">
        <is>
          <t>Total IVA:</t>
        </is>
      </c>
      <c r="B4" s="1">
        <f>SUM(Resumen_Mensual!C2:C13)</f>
        <v/>
      </c>
    </row>
    <row r="5">
      <c r="A5" t="inlineStr">
        <is>
          <t>Media Mensual:</t>
        </is>
      </c>
      <c r="B5" s="4">
        <f>AVERAGE(Resumen_Mensual!F2:F13)</f>
        <v/>
      </c>
    </row>
    <row r="6">
      <c r="A6" t="inlineStr">
        <is>
          <t>Total Horas:</t>
        </is>
      </c>
      <c r="B6">
        <f>SUM(Registro_Horas!C:C)</f>
        <v/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D2" sqref="D2"/>
    </sheetView>
  </sheetViews>
  <sheetFormatPr baseColWidth="10" defaultColWidth="11.5703125" defaultRowHeight="19.15" customHeight="1"/>
  <cols>
    <col width="11.5703125" customWidth="1" style="6" min="1" max="1"/>
    <col width="13.28515625" customWidth="1" style="6" min="2" max="2"/>
    <col width="15.5703125" customWidth="1" style="6" min="3" max="3"/>
    <col width="139.28515625" customWidth="1" style="6" min="4" max="4"/>
    <col width="11.5703125" customWidth="1" style="6" min="5" max="16384"/>
  </cols>
  <sheetData>
    <row r="1" ht="19.15" customHeight="1" s="10">
      <c r="A1" s="5" t="inlineStr">
        <is>
          <t>Mes</t>
        </is>
      </c>
      <c r="B1" s="5" t="inlineStr">
        <is>
          <t>Cliente</t>
        </is>
      </c>
      <c r="C1" s="5" t="inlineStr">
        <is>
          <t>Horas</t>
        </is>
      </c>
      <c r="D1" s="5" t="inlineStr">
        <is>
          <t>Comentarios</t>
        </is>
      </c>
    </row>
    <row r="2" ht="19.15" customHeight="1" s="10">
      <c r="A2" s="6" t="inlineStr">
        <is>
          <t>Agosto</t>
        </is>
      </c>
      <c r="B2" s="6" t="inlineStr">
        <is>
          <t>Dos Connect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Adrián Pozo Esteban</dc:creator>
  <dcterms:created xmlns:dcterms="http://purl.org/dc/terms/" xmlns:xsi="http://www.w3.org/2001/XMLSchema-instance" xsi:type="dcterms:W3CDTF">2025-02-12T22:58:10Z</dcterms:created>
  <dcterms:modified xmlns:dcterms="http://purl.org/dc/terms/" xmlns:xsi="http://www.w3.org/2001/XMLSchema-instance" xsi:type="dcterms:W3CDTF">2026-10-01T13:30:06Z</dcterms:modified>
  <cp:lastModifiedBy>Adrian Pozo Esteban</cp:lastModifiedBy>
</cp:coreProperties>
</file>