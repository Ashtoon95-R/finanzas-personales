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e70d0ddcdbd1ed/Escritorio/Autónomo/"/>
    </mc:Choice>
  </mc:AlternateContent>
  <xr:revisionPtr revIDLastSave="501" documentId="13_ncr:1_{EBE4CBCC-1CF3-466D-88F8-3B1CE127F240}" xr6:coauthVersionLast="47" xr6:coauthVersionMax="47" xr10:uidLastSave="{68CAF8B4-A5B0-4226-847F-D11904D983CF}"/>
  <bookViews>
    <workbookView xWindow="-120" yWindow="-120" windowWidth="29040" windowHeight="15720" activeTab="1" xr2:uid="{5018AD76-DC28-4DCD-A3EB-AE9724187D38}"/>
  </bookViews>
  <sheets>
    <sheet name="Registro_Horas" sheetId="1" r:id="rId1"/>
    <sheet name="Resumen_Mensual" sheetId="2" r:id="rId2"/>
    <sheet name="Dashboard" sheetId="3" r:id="rId3"/>
    <sheet name="Registro_Horas_Desarrollos" sheetId="4" r:id="rId4"/>
  </sheets>
  <definedNames>
    <definedName name="_xlnm._FilterDatabase" localSheetId="0" hidden="1">Registro_Horas!$A$1:$E$1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7" i="1" l="1"/>
  <c r="E57" i="1" s="1"/>
  <c r="C52" i="1"/>
  <c r="E52" i="1" s="1"/>
  <c r="E53" i="1"/>
  <c r="E54" i="1"/>
  <c r="C50" i="1"/>
  <c r="E46" i="1"/>
  <c r="E48" i="1"/>
  <c r="E49" i="1"/>
  <c r="E55" i="1"/>
  <c r="E59" i="1"/>
  <c r="E43" i="1"/>
  <c r="E47" i="1"/>
  <c r="E42" i="1"/>
  <c r="E50" i="1" l="1"/>
  <c r="C39" i="1"/>
  <c r="E39" i="1" s="1"/>
  <c r="C36" i="1"/>
  <c r="E36" i="1" s="1"/>
  <c r="E60" i="1"/>
  <c r="E45" i="1"/>
  <c r="E34" i="1"/>
  <c r="C40" i="1"/>
  <c r="E40" i="1" s="1"/>
  <c r="C33" i="1"/>
  <c r="E33" i="1" s="1"/>
  <c r="C38" i="1"/>
  <c r="E38" i="1" s="1"/>
  <c r="C32" i="1"/>
  <c r="E32" i="1" s="1"/>
  <c r="E41" i="1"/>
  <c r="C28" i="1"/>
  <c r="E28" i="1" s="1"/>
  <c r="E35" i="1"/>
  <c r="C37" i="1"/>
  <c r="E37" i="1" s="1"/>
  <c r="C25" i="1"/>
  <c r="E31" i="1"/>
  <c r="C27" i="1"/>
  <c r="E27" i="1" s="1"/>
  <c r="E58" i="1"/>
  <c r="E44" i="1"/>
  <c r="E29" i="1"/>
  <c r="E23" i="1"/>
  <c r="C61" i="1"/>
  <c r="E61" i="1" s="1"/>
  <c r="C26" i="1"/>
  <c r="E26" i="1" s="1"/>
  <c r="C17" i="1"/>
  <c r="E17" i="1" s="1"/>
  <c r="E56" i="1"/>
  <c r="E21" i="1"/>
  <c r="E7" i="1"/>
  <c r="E8" i="1"/>
  <c r="E9" i="1"/>
  <c r="E10" i="1"/>
  <c r="E11" i="1"/>
  <c r="E15" i="1"/>
  <c r="E16" i="1"/>
  <c r="E18" i="1"/>
  <c r="E24" i="1"/>
  <c r="E20" i="1"/>
  <c r="E22" i="1"/>
  <c r="C19" i="1"/>
  <c r="E19" i="1" s="1"/>
  <c r="C12" i="1"/>
  <c r="E12" i="1" s="1"/>
  <c r="C14" i="1"/>
  <c r="E14" i="1" s="1"/>
  <c r="C13" i="1"/>
  <c r="E13" i="1" s="1"/>
  <c r="C5" i="1"/>
  <c r="E5" i="1" s="1"/>
  <c r="C6" i="1"/>
  <c r="E6" i="1" l="1"/>
  <c r="E25" i="1"/>
  <c r="C4" i="1"/>
  <c r="E4" i="1" s="1"/>
  <c r="E51" i="1"/>
  <c r="E3" i="1"/>
  <c r="E2" i="1"/>
  <c r="C30" i="1"/>
  <c r="E30" i="1" s="1"/>
  <c r="D15" i="2"/>
  <c r="B2" i="2" l="1"/>
  <c r="B13" i="2"/>
  <c r="B12" i="2"/>
  <c r="B11" i="2"/>
  <c r="B10" i="2"/>
  <c r="B9" i="2"/>
  <c r="B6" i="2"/>
  <c r="B8" i="2"/>
  <c r="B7" i="2"/>
  <c r="B5" i="2"/>
  <c r="B4" i="2"/>
  <c r="B6" i="3"/>
  <c r="C2" i="2" l="1"/>
  <c r="H2" i="2"/>
  <c r="F2" i="2" s="1"/>
  <c r="H13" i="2"/>
  <c r="F13" i="2" s="1"/>
  <c r="H12" i="2"/>
  <c r="F12" i="2" s="1"/>
  <c r="H11" i="2"/>
  <c r="F11" i="2" s="1"/>
  <c r="H10" i="2"/>
  <c r="F10" i="2" s="1"/>
  <c r="H9" i="2"/>
  <c r="F9" i="2" s="1"/>
  <c r="H6" i="2"/>
  <c r="F6" i="2" s="1"/>
  <c r="H8" i="2"/>
  <c r="F8" i="2" s="1"/>
  <c r="H7" i="2"/>
  <c r="F7" i="2" s="1"/>
  <c r="H5" i="2"/>
  <c r="F5" i="2" s="1"/>
  <c r="H4" i="2"/>
  <c r="F4" i="2" s="1"/>
  <c r="C4" i="2"/>
  <c r="C5" i="2"/>
  <c r="C7" i="2"/>
  <c r="C8" i="2"/>
  <c r="C6" i="2"/>
  <c r="C9" i="2"/>
  <c r="C10" i="2"/>
  <c r="C12" i="2"/>
  <c r="C13" i="2"/>
  <c r="C11" i="2"/>
  <c r="B3" i="2"/>
  <c r="H3" i="2" l="1"/>
  <c r="F3" i="2" s="1"/>
  <c r="B3" i="3"/>
  <c r="C3" i="2"/>
  <c r="B15" i="2"/>
  <c r="H15" i="2" l="1"/>
  <c r="C15" i="2"/>
  <c r="B4" i="3"/>
  <c r="B5" i="3" l="1"/>
  <c r="F15" i="2"/>
</calcChain>
</file>

<file path=xl/sharedStrings.xml><?xml version="1.0" encoding="utf-8"?>
<sst xmlns="http://schemas.openxmlformats.org/spreadsheetml/2006/main" count="217" uniqueCount="104">
  <si>
    <t>Mes</t>
  </si>
  <si>
    <t>Cliente</t>
  </si>
  <si>
    <t>Horas</t>
  </si>
  <si>
    <t>Precio/Hora</t>
  </si>
  <si>
    <t>Total</t>
  </si>
  <si>
    <t>Ingresos Totales</t>
  </si>
  <si>
    <t>IVA (21%)</t>
  </si>
  <si>
    <t>Cuota Autónomos</t>
  </si>
  <si>
    <t>Otros Gastos</t>
  </si>
  <si>
    <t>Beneficio Neto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</si>
  <si>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</si>
  <si>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</si>
  <si>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</si>
  <si>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</si>
  <si>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</si>
  <si>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</si>
  <si>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</si>
  <si>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</si>
  <si>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</si>
  <si>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</si>
  <si>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</si>
  <si>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</si>
  <si>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ANUAL</t>
  </si>
  <si>
    <t>RESUMEN ANUAL</t>
  </si>
  <si>
    <t>Total Ingresos:</t>
  </si>
  <si>
    <t>Total IVA:</t>
  </si>
  <si>
    <t>Media Mensual:</t>
  </si>
  <si>
    <t>Total Horas:</t>
  </si>
  <si>
    <t>Diettest</t>
  </si>
  <si>
    <t>Pagado</t>
  </si>
  <si>
    <t>Comentarios</t>
  </si>
  <si>
    <t>Chigo Bienestar</t>
  </si>
  <si>
    <t>Tartuga</t>
  </si>
  <si>
    <t>Tercer pago de Tartuga</t>
  </si>
  <si>
    <t xml:space="preserve">Pago mensual de SEO </t>
  </si>
  <si>
    <t>Venttus Illusion</t>
  </si>
  <si>
    <t xml:space="preserve">Pago mensual de Mantenimiento </t>
  </si>
  <si>
    <t xml:space="preserve">2 Connect </t>
  </si>
  <si>
    <t>Enviada</t>
  </si>
  <si>
    <t>IRPF MENSUAL</t>
  </si>
  <si>
    <t>Último Pago 2 Connect APP</t>
  </si>
  <si>
    <t>Primer pago de EPCO Freemium</t>
  </si>
  <si>
    <t>Segundo pago de EPCO Freemium</t>
  </si>
  <si>
    <t>Tercer pago de desarrollo software Diettest</t>
  </si>
  <si>
    <t>Templo del Masaje</t>
  </si>
  <si>
    <t>Cambios en Webs (2h 0min)</t>
  </si>
  <si>
    <t>Clases Alicia</t>
  </si>
  <si>
    <t>Martes 13, 12:00-13:30 + Miercoles 21, 12:00 - 13:00 + Martes 27, 12:00 - 13:10</t>
  </si>
  <si>
    <t>Findall</t>
  </si>
  <si>
    <t>Traducciones (1h) + Vista movil (3h) + Página Web (1h)</t>
  </si>
  <si>
    <t>Daniel Oñate</t>
  </si>
  <si>
    <t>Primer pago APP Daniel</t>
  </si>
  <si>
    <t>Segundo pago APP Daniel</t>
  </si>
  <si>
    <t>Tercero pago APP Daniel</t>
  </si>
  <si>
    <t>Label Concierge</t>
  </si>
  <si>
    <t>Recuperar documentos y usuarios</t>
  </si>
  <si>
    <t>Viernes 06, 9:40-10:50 + Martes 10, 11:40  a 12:40</t>
  </si>
  <si>
    <t>Jacinto</t>
  </si>
  <si>
    <t>Primer pago de Jacinto y APP</t>
  </si>
  <si>
    <t>Segundo pago de Jacinto y APP</t>
  </si>
  <si>
    <t>Dasana</t>
  </si>
  <si>
    <t>Pago por Make y Brevo de Dasana</t>
  </si>
  <si>
    <t>Cambios en Webs (3h 0min) + Cambios en Extranet de Nobel (2h 30min)</t>
  </si>
  <si>
    <t>Desarrollo de decathlon</t>
  </si>
  <si>
    <t>Yolanda Jarasclub</t>
  </si>
  <si>
    <t>Primer pago JarasClub Yolanda</t>
  </si>
  <si>
    <t>Somos Aventura</t>
  </si>
  <si>
    <t>Travel Meet</t>
  </si>
  <si>
    <t>Primer pago de Travel Meet</t>
  </si>
  <si>
    <t>Pago final de Dasana</t>
  </si>
  <si>
    <t>Segundo pago de Travel Meet</t>
  </si>
  <si>
    <t xml:space="preserve">Último Pago de Travel Meet </t>
  </si>
  <si>
    <t>Pago Reuniones Google ADS y Google Tag Manager (3h 30min) + Bakcups 1h 30min + Reunion para Zoom, Cancelar Reservas, Meta/Google ADS (2h)</t>
  </si>
  <si>
    <t>Pago por panel de administración</t>
  </si>
  <si>
    <t xml:space="preserve">Primer pago página web de Roberto Astro </t>
  </si>
  <si>
    <t>We Offsite</t>
  </si>
  <si>
    <t>Plataforma Admin de 2Connect</t>
  </si>
  <si>
    <t>TODO VA BIEN MJM SL</t>
  </si>
  <si>
    <t xml:space="preserve">Primer pago página web de Maria Jose Astro </t>
  </si>
  <si>
    <t>FUNDACION VISUAL TEAF</t>
  </si>
  <si>
    <t xml:space="preserve">Primer pago plataforma fundacion </t>
  </si>
  <si>
    <t xml:space="preserve">Segundo pago plataforma fundacion </t>
  </si>
  <si>
    <t xml:space="preserve">Último pago plataforma fundacion </t>
  </si>
  <si>
    <t xml:space="preserve">PAVIMPRESOCAT </t>
  </si>
  <si>
    <t xml:space="preserve">Primer pago página web de PAVIMPRESOCAT  </t>
  </si>
  <si>
    <t xml:space="preserve">Último pago página web de PAVIMPRESOCAT  </t>
  </si>
  <si>
    <t>Segundo pago JarasClub Yolanda</t>
  </si>
  <si>
    <t>Tercer pago JarasClub Yolanda</t>
  </si>
  <si>
    <t>Qualitime</t>
  </si>
  <si>
    <t>Diseño y desarrollo de página web Qualitime</t>
  </si>
  <si>
    <t>iSportCoach</t>
  </si>
  <si>
    <t>Pago 1 — Inicio del Proyecto</t>
  </si>
  <si>
    <t>Pago 3 — Cierre y Satisfacción</t>
  </si>
  <si>
    <t>Pago 2 — Hito Central: Desarrollo del Catálogo</t>
  </si>
  <si>
    <t xml:space="preserve">Último pago página web de Roberto Astro </t>
  </si>
  <si>
    <t>Fase 1 — Chatbot con plugin existente (opción básica)</t>
  </si>
  <si>
    <t>Fase 2 — Plugin personalizado RAG (opción avanzada, opcional)</t>
  </si>
  <si>
    <t>Fase 3 — Automatización marketing y operación (opcional)</t>
  </si>
  <si>
    <t>Reunion para Tiktok + Marketing (1h) + Configuracion de Meta en Web (30min)</t>
  </si>
  <si>
    <t>Landing 2Connet</t>
  </si>
  <si>
    <t xml:space="preserve">Pago Landing Page de 2Connect </t>
  </si>
  <si>
    <t>TEBORI BROWS</t>
  </si>
  <si>
    <t xml:space="preserve">Primer pago página web de Valentina </t>
  </si>
  <si>
    <t xml:space="preserve">Segundo pago página web de Valentina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</si>
</sst>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€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21212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4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Evolución Mensual de Ingresos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Resumen_Mensual!$B$1</c:f>
              <c:strCache>
                <c:ptCount val="1"/>
                <c:pt idx="0">
                  <c:v>Ingresos Totales</c:v>
                </c:pt>
              </c:strCache>
            </c:strRef>
          </c:tx>
          <c:marker>
            <c:symbol val="none"/>
          </c:marker>
          <c:cat>
            <c:strRef>
              <c:f>Resumen_Mensual!$A$2:$A$13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Resumen_Mensual!$B$2:$B$13</c:f>
              <c:numCache>
                <c:formatCode>#,##0.00\ \€</c:formatCode>
                <c:ptCount val="12"/>
                <c:pt idx="0">
                  <c:v>1869.5</c:v>
                </c:pt>
                <c:pt idx="1">
                  <c:v>5638.3</c:v>
                </c:pt>
                <c:pt idx="2">
                  <c:v>6768.2</c:v>
                </c:pt>
                <c:pt idx="3">
                  <c:v>5258.9</c:v>
                </c:pt>
                <c:pt idx="4">
                  <c:v>9306</c:v>
                </c:pt>
                <c:pt idx="5">
                  <c:v>7718.1</c:v>
                </c:pt>
                <c:pt idx="6">
                  <c:v>13407.54</c:v>
                </c:pt>
                <c:pt idx="7">
                  <c:v>6603.6</c:v>
                </c:pt>
                <c:pt idx="8">
                  <c:v>4806</c:v>
                </c:pt>
                <c:pt idx="9">
                  <c:v>2184.9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AF-41B8-8BE4-2FEF29157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7906032"/>
        <c:axId val="967900752"/>
      </c:lineChart>
      <c:catAx>
        <c:axId val="967906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67900752"/>
        <c:crosses val="autoZero"/>
        <c:auto val="1"/>
        <c:lblAlgn val="ctr"/>
        <c:lblOffset val="100"/>
        <c:noMultiLvlLbl val="0"/>
      </c:catAx>
      <c:valAx>
        <c:axId val="967900752"/>
        <c:scaling>
          <c:orientation val="minMax"/>
        </c:scaling>
        <c:delete val="0"/>
        <c:axPos val="l"/>
        <c:majorGridlines/>
        <c:numFmt formatCode="#,##0.00\ \€" sourceLinked="1"/>
        <c:majorTickMark val="out"/>
        <c:minorTickMark val="none"/>
        <c:tickLblPos val="nextTo"/>
        <c:crossAx val="9679060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10160</xdr:colOff>
      <xdr:row>2</xdr:row>
      <xdr:rowOff>0</xdr:rowOff>
    </xdr:from>
    <xdr:to>
      <xdr:col>9</xdr:col>
      <xdr:colOff>124460</xdr:colOff>
      <xdr:row>17</xdr:row>
      <xdr:rowOff>114300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B3F0F5B-5105-8F53-BEF8-1C19424953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C72A5-757D-4741-BA37-542759388843}">
  <sheetPr codeName="Hoja1"/>
  <dimension ref="A1:H61"/>
  <sheetViews>
    <sheetView topLeftCell="A30" workbookViewId="0">
      <selection activeCell="H58" sqref="H58"/>
    </sheetView>
  </sheetViews>
  <sheetFormatPr baseColWidth="10" defaultRowHeight="15" x14ac:dyDescent="0.25"/>
  <cols>
    <col min="1" max="1" width="18.28515625" customWidth="1"/>
    <col min="2" max="2" width="24" customWidth="1"/>
    <col min="3" max="3" width="18.28515625" customWidth="1"/>
    <col min="4" max="5" width="18.28515625" style="1" customWidth="1"/>
    <col min="8" max="8" width="83" style="10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38</v>
      </c>
      <c r="G1" s="2" t="s">
        <v>29</v>
      </c>
      <c r="H1" s="7" t="s">
        <v>30</v>
      </c>
    </row>
    <row r="2" spans="1:8" x14ac:dyDescent="0.25">
      <c r="A2" t="s">
        <v>10</v>
      </c>
      <c r="B2" t="s">
        <v>28</v>
      </c>
      <c r="C2">
        <v>7</v>
      </c>
      <c r="D2" s="1">
        <v>26</v>
      </c>
      <c r="E2" s="1">
        <f t="shared" ref="E2" si="0">C2*D2</f>
        <v>182</v>
      </c>
      <c r="F2" s="9" t="b">
        <v>1</v>
      </c>
      <c r="G2" s="9" t="b">
        <v>1</v>
      </c>
      <c r="H2" s="10" t="s">
        <v>34</v>
      </c>
    </row>
    <row r="3" spans="1:8" x14ac:dyDescent="0.25">
      <c r="A3" t="s">
        <v>10</v>
      </c>
      <c r="B3" t="s">
        <v>35</v>
      </c>
      <c r="C3">
        <v>11</v>
      </c>
      <c r="D3" s="1">
        <v>30</v>
      </c>
      <c r="E3" s="1">
        <f>C3*D3</f>
        <v>330</v>
      </c>
      <c r="F3" s="9" t="b">
        <v>1</v>
      </c>
      <c r="G3" s="9" t="b">
        <v>1</v>
      </c>
      <c r="H3" s="10" t="s">
        <v>36</v>
      </c>
    </row>
    <row r="4" spans="1:8" x14ac:dyDescent="0.25">
      <c r="A4" t="s">
        <v>10</v>
      </c>
      <c r="B4" t="s">
        <v>44</v>
      </c>
      <c r="C4">
        <f xml:space="preserve"> 2 + (0/60)</f>
        <v>2</v>
      </c>
      <c r="D4" s="1">
        <v>30</v>
      </c>
      <c r="E4" s="1">
        <f t="shared" ref="E4" si="1">C4*D4</f>
        <v>60</v>
      </c>
      <c r="F4" s="9" t="b">
        <v>1</v>
      </c>
      <c r="G4" s="9" t="b">
        <v>1</v>
      </c>
      <c r="H4" s="10" t="s">
        <v>45</v>
      </c>
    </row>
    <row r="5" spans="1:8" x14ac:dyDescent="0.25">
      <c r="A5" t="s">
        <v>10</v>
      </c>
      <c r="B5" t="s">
        <v>48</v>
      </c>
      <c r="C5">
        <f xml:space="preserve">  5 + (0/60)</f>
        <v>5</v>
      </c>
      <c r="D5" s="1">
        <v>26</v>
      </c>
      <c r="E5" s="1">
        <f t="shared" ref="E5" si="2">C5*D5</f>
        <v>130</v>
      </c>
      <c r="F5" s="9" t="b">
        <v>1</v>
      </c>
      <c r="G5" s="9" t="b">
        <v>1</v>
      </c>
      <c r="H5" s="10" t="s">
        <v>49</v>
      </c>
    </row>
    <row r="6" spans="1:8" ht="14.45" customHeight="1" x14ac:dyDescent="0.25">
      <c r="A6" t="s">
        <v>10</v>
      </c>
      <c r="B6" t="s">
        <v>46</v>
      </c>
      <c r="C6">
        <f xml:space="preserve"> 3 + (40/60)</f>
        <v>3.6666666666666665</v>
      </c>
      <c r="D6" s="1">
        <v>30</v>
      </c>
      <c r="E6" s="1">
        <f>C6*D6</f>
        <v>110</v>
      </c>
      <c r="F6" s="9" t="b">
        <v>1</v>
      </c>
      <c r="G6" s="9" t="b">
        <v>1</v>
      </c>
      <c r="H6" s="10" t="s">
        <v>47</v>
      </c>
    </row>
    <row r="7" spans="1:8" x14ac:dyDescent="0.25">
      <c r="A7" t="s">
        <v>10</v>
      </c>
      <c r="B7" t="s">
        <v>31</v>
      </c>
      <c r="C7">
        <v>35.25</v>
      </c>
      <c r="D7" s="1">
        <v>30</v>
      </c>
      <c r="E7" s="1">
        <f t="shared" ref="E7:E22" si="3">C7*D7</f>
        <v>1057.5</v>
      </c>
      <c r="F7" s="9" t="b">
        <v>1</v>
      </c>
      <c r="G7" s="9" t="b">
        <v>1</v>
      </c>
      <c r="H7" s="10" t="s">
        <v>41</v>
      </c>
    </row>
    <row r="8" spans="1:8" x14ac:dyDescent="0.25">
      <c r="A8" t="s">
        <v>11</v>
      </c>
      <c r="B8" t="s">
        <v>31</v>
      </c>
      <c r="C8">
        <v>35.25</v>
      </c>
      <c r="D8" s="1">
        <v>30</v>
      </c>
      <c r="E8" s="1">
        <f t="shared" si="3"/>
        <v>1057.5</v>
      </c>
      <c r="F8" s="9" t="b">
        <v>1</v>
      </c>
      <c r="G8" s="9" t="b">
        <v>1</v>
      </c>
      <c r="H8" s="10" t="s">
        <v>42</v>
      </c>
    </row>
    <row r="9" spans="1:8" x14ac:dyDescent="0.25">
      <c r="A9" t="s">
        <v>11</v>
      </c>
      <c r="B9" t="s">
        <v>28</v>
      </c>
      <c r="C9">
        <v>7</v>
      </c>
      <c r="D9" s="1">
        <v>26</v>
      </c>
      <c r="E9" s="1">
        <f t="shared" si="3"/>
        <v>182</v>
      </c>
      <c r="F9" s="9" t="b">
        <v>1</v>
      </c>
      <c r="G9" s="9" t="b">
        <v>1</v>
      </c>
      <c r="H9" s="10" t="s">
        <v>34</v>
      </c>
    </row>
    <row r="10" spans="1:8" x14ac:dyDescent="0.25">
      <c r="A10" t="s">
        <v>11</v>
      </c>
      <c r="B10" t="s">
        <v>35</v>
      </c>
      <c r="C10">
        <v>11</v>
      </c>
      <c r="D10" s="1">
        <v>30</v>
      </c>
      <c r="E10" s="1">
        <f t="shared" si="3"/>
        <v>330</v>
      </c>
      <c r="F10" s="9" t="b">
        <v>1</v>
      </c>
      <c r="G10" s="9" t="b">
        <v>1</v>
      </c>
      <c r="H10" s="10" t="s">
        <v>36</v>
      </c>
    </row>
    <row r="11" spans="1:8" x14ac:dyDescent="0.25">
      <c r="A11" t="s">
        <v>11</v>
      </c>
      <c r="B11" t="s">
        <v>54</v>
      </c>
      <c r="C11">
        <v>3</v>
      </c>
      <c r="D11" s="1">
        <v>35</v>
      </c>
      <c r="E11" s="1">
        <f t="shared" si="3"/>
        <v>105</v>
      </c>
      <c r="F11" s="9" t="b">
        <v>1</v>
      </c>
      <c r="G11" s="9" t="b">
        <v>1</v>
      </c>
      <c r="H11" s="10" t="s">
        <v>55</v>
      </c>
    </row>
    <row r="12" spans="1:8" x14ac:dyDescent="0.25">
      <c r="A12" t="s">
        <v>11</v>
      </c>
      <c r="B12" t="s">
        <v>44</v>
      </c>
      <c r="C12">
        <f xml:space="preserve"> 5 + (30/60)</f>
        <v>5.5</v>
      </c>
      <c r="D12" s="1">
        <v>30</v>
      </c>
      <c r="E12" s="1">
        <f t="shared" si="3"/>
        <v>165</v>
      </c>
      <c r="F12" s="9" t="b">
        <v>1</v>
      </c>
      <c r="G12" s="9" t="b">
        <v>1</v>
      </c>
      <c r="H12" s="10" t="s">
        <v>62</v>
      </c>
    </row>
    <row r="13" spans="1:8" ht="14.45" customHeight="1" x14ac:dyDescent="0.25">
      <c r="A13" t="s">
        <v>11</v>
      </c>
      <c r="B13" t="s">
        <v>46</v>
      </c>
      <c r="C13">
        <f xml:space="preserve"> 2 + (10/60)</f>
        <v>2.1666666666666665</v>
      </c>
      <c r="D13" s="1">
        <v>30</v>
      </c>
      <c r="E13" s="1">
        <f t="shared" si="3"/>
        <v>65</v>
      </c>
      <c r="F13" s="9" t="b">
        <v>1</v>
      </c>
      <c r="G13" s="9" t="b">
        <v>1</v>
      </c>
      <c r="H13" s="10" t="s">
        <v>56</v>
      </c>
    </row>
    <row r="14" spans="1:8" ht="14.45" customHeight="1" x14ac:dyDescent="0.25">
      <c r="A14" t="s">
        <v>11</v>
      </c>
      <c r="B14" t="s">
        <v>57</v>
      </c>
      <c r="C14">
        <f xml:space="preserve"> 24.6</f>
        <v>24.6</v>
      </c>
      <c r="D14" s="1">
        <v>30</v>
      </c>
      <c r="E14" s="1">
        <f t="shared" si="3"/>
        <v>738</v>
      </c>
      <c r="F14" s="9" t="b">
        <v>1</v>
      </c>
      <c r="G14" s="9" t="b">
        <v>1</v>
      </c>
      <c r="H14" s="10" t="s">
        <v>58</v>
      </c>
    </row>
    <row r="15" spans="1:8" x14ac:dyDescent="0.25">
      <c r="A15" t="s">
        <v>11</v>
      </c>
      <c r="B15" t="s">
        <v>60</v>
      </c>
      <c r="C15">
        <v>45</v>
      </c>
      <c r="D15" s="1">
        <v>30</v>
      </c>
      <c r="E15" s="1">
        <f t="shared" si="3"/>
        <v>1350</v>
      </c>
      <c r="F15" s="9" t="b">
        <v>1</v>
      </c>
      <c r="G15" s="9" t="b">
        <v>1</v>
      </c>
      <c r="H15" s="10" t="s">
        <v>61</v>
      </c>
    </row>
    <row r="16" spans="1:8" x14ac:dyDescent="0.25">
      <c r="A16" t="s">
        <v>11</v>
      </c>
      <c r="B16" t="s">
        <v>50</v>
      </c>
      <c r="C16">
        <v>63.3</v>
      </c>
      <c r="D16" s="1">
        <v>26</v>
      </c>
      <c r="E16" s="1">
        <f t="shared" si="3"/>
        <v>1645.8</v>
      </c>
      <c r="F16" s="9" t="b">
        <v>1</v>
      </c>
      <c r="G16" s="9" t="b">
        <v>1</v>
      </c>
      <c r="H16" s="10" t="s">
        <v>51</v>
      </c>
    </row>
    <row r="17" spans="1:8" ht="14.45" customHeight="1" x14ac:dyDescent="0.25">
      <c r="A17" t="s">
        <v>12</v>
      </c>
      <c r="B17" t="s">
        <v>57</v>
      </c>
      <c r="C17">
        <f xml:space="preserve"> 24.6</f>
        <v>24.6</v>
      </c>
      <c r="D17" s="1">
        <v>30</v>
      </c>
      <c r="E17" s="1">
        <f t="shared" si="3"/>
        <v>738</v>
      </c>
      <c r="F17" s="9" t="b">
        <v>1</v>
      </c>
      <c r="G17" s="9" t="b">
        <v>1</v>
      </c>
      <c r="H17" s="10" t="s">
        <v>59</v>
      </c>
    </row>
    <row r="18" spans="1:8" x14ac:dyDescent="0.25">
      <c r="A18" t="s">
        <v>12</v>
      </c>
      <c r="B18" t="s">
        <v>35</v>
      </c>
      <c r="C18">
        <v>6</v>
      </c>
      <c r="D18" s="1">
        <v>30</v>
      </c>
      <c r="E18" s="1">
        <f t="shared" si="3"/>
        <v>180</v>
      </c>
      <c r="F18" s="9" t="b">
        <v>1</v>
      </c>
      <c r="G18" s="9" t="b">
        <v>1</v>
      </c>
      <c r="H18" s="10" t="s">
        <v>36</v>
      </c>
    </row>
    <row r="19" spans="1:8" x14ac:dyDescent="0.25">
      <c r="A19" t="s">
        <v>12</v>
      </c>
      <c r="B19" t="s">
        <v>44</v>
      </c>
      <c r="C19">
        <f xml:space="preserve"> 2 + (0/60)</f>
        <v>2</v>
      </c>
      <c r="D19" s="1">
        <v>30</v>
      </c>
      <c r="E19" s="1">
        <f t="shared" si="3"/>
        <v>60</v>
      </c>
      <c r="F19" s="9" t="b">
        <v>1</v>
      </c>
      <c r="G19" s="9" t="b">
        <v>1</v>
      </c>
      <c r="H19" s="10" t="s">
        <v>45</v>
      </c>
    </row>
    <row r="20" spans="1:8" x14ac:dyDescent="0.25">
      <c r="A20" t="s">
        <v>12</v>
      </c>
      <c r="B20" t="s">
        <v>50</v>
      </c>
      <c r="C20">
        <v>84.4</v>
      </c>
      <c r="D20" s="1">
        <v>26</v>
      </c>
      <c r="E20" s="1">
        <f t="shared" si="3"/>
        <v>2194.4</v>
      </c>
      <c r="F20" s="9" t="b">
        <v>1</v>
      </c>
      <c r="G20" s="9" t="b">
        <v>1</v>
      </c>
      <c r="H20" s="10" t="s">
        <v>52</v>
      </c>
    </row>
    <row r="21" spans="1:8" x14ac:dyDescent="0.25">
      <c r="A21" t="s">
        <v>12</v>
      </c>
      <c r="B21" t="s">
        <v>64</v>
      </c>
      <c r="C21">
        <v>65</v>
      </c>
      <c r="D21" s="1">
        <v>30</v>
      </c>
      <c r="E21" s="1">
        <f t="shared" si="3"/>
        <v>1950</v>
      </c>
      <c r="F21" s="9" t="b">
        <v>1</v>
      </c>
      <c r="G21" s="9" t="b">
        <v>1</v>
      </c>
      <c r="H21" s="10" t="s">
        <v>65</v>
      </c>
    </row>
    <row r="22" spans="1:8" x14ac:dyDescent="0.25">
      <c r="A22" t="s">
        <v>12</v>
      </c>
      <c r="B22" t="s">
        <v>50</v>
      </c>
      <c r="C22">
        <v>63.3</v>
      </c>
      <c r="D22" s="1">
        <v>26</v>
      </c>
      <c r="E22" s="1">
        <f t="shared" si="3"/>
        <v>1645.8</v>
      </c>
      <c r="F22" s="9" t="b">
        <v>1</v>
      </c>
      <c r="G22" s="9" t="b">
        <v>1</v>
      </c>
      <c r="H22" s="10" t="s">
        <v>53</v>
      </c>
    </row>
    <row r="23" spans="1:8" x14ac:dyDescent="0.25">
      <c r="A23" t="s">
        <v>13</v>
      </c>
      <c r="B23" t="s">
        <v>28</v>
      </c>
      <c r="C23">
        <v>4</v>
      </c>
      <c r="D23" s="1">
        <v>26</v>
      </c>
      <c r="E23" s="1">
        <f t="shared" ref="E23" si="4">C23*D23</f>
        <v>104</v>
      </c>
      <c r="F23" s="9" t="b">
        <v>1</v>
      </c>
      <c r="G23" s="9" t="b">
        <v>1</v>
      </c>
      <c r="H23" s="10" t="s">
        <v>34</v>
      </c>
    </row>
    <row r="24" spans="1:8" x14ac:dyDescent="0.25">
      <c r="A24" t="s">
        <v>13</v>
      </c>
      <c r="B24" t="s">
        <v>31</v>
      </c>
      <c r="C24">
        <v>25.5</v>
      </c>
      <c r="D24" s="1">
        <v>30</v>
      </c>
      <c r="E24" s="1">
        <f t="shared" ref="E24:E31" si="5">C24*D24</f>
        <v>765</v>
      </c>
      <c r="F24" s="9" t="b">
        <v>1</v>
      </c>
      <c r="G24" s="9" t="b">
        <v>1</v>
      </c>
      <c r="H24" s="10" t="s">
        <v>63</v>
      </c>
    </row>
    <row r="25" spans="1:8" x14ac:dyDescent="0.25">
      <c r="A25" t="s">
        <v>13</v>
      </c>
      <c r="B25" t="s">
        <v>37</v>
      </c>
      <c r="C25">
        <f xml:space="preserve"> 75 + (30/60)</f>
        <v>75.5</v>
      </c>
      <c r="D25" s="1">
        <v>26</v>
      </c>
      <c r="E25" s="1">
        <f t="shared" si="5"/>
        <v>1963</v>
      </c>
      <c r="F25" s="9" t="b">
        <v>1</v>
      </c>
      <c r="G25" s="9" t="b">
        <v>1</v>
      </c>
      <c r="H25" s="10" t="s">
        <v>40</v>
      </c>
    </row>
    <row r="26" spans="1:8" x14ac:dyDescent="0.25">
      <c r="A26" t="s">
        <v>13</v>
      </c>
      <c r="B26" t="s">
        <v>66</v>
      </c>
      <c r="C26">
        <f xml:space="preserve"> 72.83</f>
        <v>72.83</v>
      </c>
      <c r="D26" s="1">
        <v>30</v>
      </c>
      <c r="E26" s="1">
        <f t="shared" si="5"/>
        <v>2184.9</v>
      </c>
      <c r="F26" s="9" t="b">
        <v>1</v>
      </c>
      <c r="G26" s="9" t="b">
        <v>1</v>
      </c>
      <c r="H26" s="10" t="s">
        <v>40</v>
      </c>
    </row>
    <row r="27" spans="1:8" x14ac:dyDescent="0.25">
      <c r="A27" t="s">
        <v>13</v>
      </c>
      <c r="B27" t="s">
        <v>44</v>
      </c>
      <c r="C27">
        <f xml:space="preserve"> 2 + (0/60)</f>
        <v>2</v>
      </c>
      <c r="D27" s="1">
        <v>30</v>
      </c>
      <c r="E27" s="1">
        <f t="shared" si="5"/>
        <v>60</v>
      </c>
      <c r="F27" s="9" t="b">
        <v>1</v>
      </c>
      <c r="G27" s="9" t="b">
        <v>1</v>
      </c>
      <c r="H27" s="10" t="s">
        <v>45</v>
      </c>
    </row>
    <row r="28" spans="1:8" x14ac:dyDescent="0.25">
      <c r="A28" t="s">
        <v>13</v>
      </c>
      <c r="B28" t="s">
        <v>28</v>
      </c>
      <c r="C28">
        <f xml:space="preserve"> 7 + (0/60)</f>
        <v>7</v>
      </c>
      <c r="D28" s="1">
        <v>26</v>
      </c>
      <c r="E28" s="1">
        <f t="shared" si="5"/>
        <v>182</v>
      </c>
      <c r="F28" s="9" t="b">
        <v>1</v>
      </c>
      <c r="G28" s="9" t="b">
        <v>1</v>
      </c>
      <c r="H28" s="10" t="s">
        <v>72</v>
      </c>
    </row>
    <row r="29" spans="1:8" ht="14.45" customHeight="1" x14ac:dyDescent="0.25">
      <c r="A29" t="s">
        <v>14</v>
      </c>
      <c r="B29" t="s">
        <v>67</v>
      </c>
      <c r="C29">
        <v>62.1</v>
      </c>
      <c r="D29" s="1">
        <v>30</v>
      </c>
      <c r="E29" s="1">
        <f t="shared" si="5"/>
        <v>1863</v>
      </c>
      <c r="F29" s="9" t="b">
        <v>1</v>
      </c>
      <c r="G29" s="9" t="b">
        <v>1</v>
      </c>
      <c r="H29" s="10" t="s">
        <v>68</v>
      </c>
    </row>
    <row r="30" spans="1:8" ht="14.25" customHeight="1" x14ac:dyDescent="0.25">
      <c r="A30" t="s">
        <v>14</v>
      </c>
      <c r="B30" t="s">
        <v>32</v>
      </c>
      <c r="C30">
        <f xml:space="preserve"> 37</f>
        <v>37</v>
      </c>
      <c r="D30" s="1">
        <v>30</v>
      </c>
      <c r="E30" s="1">
        <f t="shared" si="5"/>
        <v>1110</v>
      </c>
      <c r="F30" s="9" t="b">
        <v>1</v>
      </c>
      <c r="G30" s="9" t="b">
        <v>1</v>
      </c>
      <c r="H30" s="10" t="s">
        <v>33</v>
      </c>
    </row>
    <row r="31" spans="1:8" ht="14.25" customHeight="1" x14ac:dyDescent="0.25">
      <c r="A31" t="s">
        <v>14</v>
      </c>
      <c r="B31" t="s">
        <v>60</v>
      </c>
      <c r="C31">
        <v>30</v>
      </c>
      <c r="D31" s="1">
        <v>30</v>
      </c>
      <c r="E31" s="1">
        <f t="shared" si="5"/>
        <v>900</v>
      </c>
      <c r="F31" s="9" t="b">
        <v>1</v>
      </c>
      <c r="G31" s="9" t="b">
        <v>1</v>
      </c>
      <c r="H31" s="10" t="s">
        <v>69</v>
      </c>
    </row>
    <row r="32" spans="1:8" ht="14.25" customHeight="1" x14ac:dyDescent="0.25">
      <c r="A32" t="s">
        <v>14</v>
      </c>
      <c r="B32" t="s">
        <v>75</v>
      </c>
      <c r="C32">
        <f xml:space="preserve"> 25</f>
        <v>25</v>
      </c>
      <c r="D32" s="1">
        <v>30</v>
      </c>
      <c r="E32" s="1">
        <f t="shared" ref="E32" si="6">C32*D32</f>
        <v>750</v>
      </c>
      <c r="F32" s="9" t="b">
        <v>1</v>
      </c>
      <c r="G32" s="9" t="b">
        <v>1</v>
      </c>
      <c r="H32" s="10" t="s">
        <v>74</v>
      </c>
    </row>
    <row r="33" spans="1:8" ht="14.25" customHeight="1" x14ac:dyDescent="0.25">
      <c r="A33" t="s">
        <v>14</v>
      </c>
      <c r="B33" t="s">
        <v>77</v>
      </c>
      <c r="C33">
        <f xml:space="preserve"> 13.5</f>
        <v>13.5</v>
      </c>
      <c r="D33" s="1">
        <v>30</v>
      </c>
      <c r="E33" s="1">
        <f t="shared" ref="E33:E34" si="7">C33*D33</f>
        <v>405</v>
      </c>
      <c r="F33" s="9" t="b">
        <v>1</v>
      </c>
      <c r="G33" s="9" t="b">
        <v>1</v>
      </c>
      <c r="H33" s="10" t="s">
        <v>78</v>
      </c>
    </row>
    <row r="34" spans="1:8" ht="14.25" customHeight="1" x14ac:dyDescent="0.25">
      <c r="A34" t="s">
        <v>14</v>
      </c>
      <c r="B34" s="11" t="s">
        <v>79</v>
      </c>
      <c r="C34">
        <v>110.1</v>
      </c>
      <c r="D34" s="1">
        <v>30</v>
      </c>
      <c r="E34" s="1">
        <f t="shared" si="7"/>
        <v>3303</v>
      </c>
      <c r="F34" s="9" t="b">
        <v>0</v>
      </c>
      <c r="G34" s="9" t="b">
        <v>0</v>
      </c>
      <c r="H34" s="10" t="s">
        <v>80</v>
      </c>
    </row>
    <row r="35" spans="1:8" x14ac:dyDescent="0.25">
      <c r="A35" t="s">
        <v>14</v>
      </c>
      <c r="B35" t="s">
        <v>50</v>
      </c>
      <c r="C35">
        <v>6</v>
      </c>
      <c r="D35" s="1">
        <v>30</v>
      </c>
      <c r="E35" s="1">
        <f>C35*D35</f>
        <v>180</v>
      </c>
      <c r="F35" s="9" t="b">
        <v>1</v>
      </c>
      <c r="G35" s="9" t="b">
        <v>1</v>
      </c>
      <c r="H35" s="10" t="s">
        <v>73</v>
      </c>
    </row>
    <row r="36" spans="1:8" ht="14.25" customHeight="1" x14ac:dyDescent="0.25">
      <c r="A36" t="s">
        <v>14</v>
      </c>
      <c r="B36" s="12" t="s">
        <v>83</v>
      </c>
      <c r="C36">
        <f xml:space="preserve"> 26.5</f>
        <v>26.5</v>
      </c>
      <c r="D36" s="1">
        <v>30</v>
      </c>
      <c r="E36" s="1">
        <f t="shared" ref="E36" si="8">C36*D36</f>
        <v>795</v>
      </c>
      <c r="F36" s="9" t="b">
        <v>1</v>
      </c>
      <c r="G36" s="9" t="b">
        <v>1</v>
      </c>
      <c r="H36" s="10" t="s">
        <v>84</v>
      </c>
    </row>
    <row r="37" spans="1:8" x14ac:dyDescent="0.25">
      <c r="A37" t="s">
        <v>15</v>
      </c>
      <c r="B37" t="s">
        <v>37</v>
      </c>
      <c r="C37">
        <f xml:space="preserve"> 39 + (30/60)</f>
        <v>39.5</v>
      </c>
      <c r="D37" s="1">
        <v>30</v>
      </c>
      <c r="E37" s="1">
        <f t="shared" ref="E37:E39" si="9">C37*D37</f>
        <v>1185</v>
      </c>
      <c r="F37" s="9" t="b">
        <v>1</v>
      </c>
      <c r="G37" s="9" t="b">
        <v>1</v>
      </c>
      <c r="H37" s="10" t="s">
        <v>76</v>
      </c>
    </row>
    <row r="38" spans="1:8" ht="14.25" customHeight="1" x14ac:dyDescent="0.25">
      <c r="A38" t="s">
        <v>15</v>
      </c>
      <c r="B38" t="s">
        <v>75</v>
      </c>
      <c r="C38">
        <f xml:space="preserve"> 25</f>
        <v>25</v>
      </c>
      <c r="D38" s="1">
        <v>30</v>
      </c>
      <c r="E38" s="1">
        <f t="shared" si="9"/>
        <v>750</v>
      </c>
      <c r="F38" s="9" t="b">
        <v>1</v>
      </c>
      <c r="G38" s="9" t="b">
        <v>1</v>
      </c>
      <c r="H38" s="10" t="s">
        <v>94</v>
      </c>
    </row>
    <row r="39" spans="1:8" ht="14.25" customHeight="1" x14ac:dyDescent="0.25">
      <c r="A39" t="s">
        <v>15</v>
      </c>
      <c r="B39" s="12" t="s">
        <v>83</v>
      </c>
      <c r="C39">
        <f xml:space="preserve"> 26.5</f>
        <v>26.5</v>
      </c>
      <c r="D39" s="1">
        <v>30</v>
      </c>
      <c r="E39" s="1">
        <f t="shared" si="9"/>
        <v>795</v>
      </c>
      <c r="F39" s="9" t="b">
        <v>1</v>
      </c>
      <c r="G39" s="9" t="b">
        <v>1</v>
      </c>
      <c r="H39" s="10" t="s">
        <v>85</v>
      </c>
    </row>
    <row r="40" spans="1:8" ht="14.25" customHeight="1" x14ac:dyDescent="0.25">
      <c r="A40" t="s">
        <v>15</v>
      </c>
      <c r="B40" t="s">
        <v>77</v>
      </c>
      <c r="C40">
        <f xml:space="preserve"> 13.5</f>
        <v>13.5</v>
      </c>
      <c r="D40" s="1">
        <v>30</v>
      </c>
      <c r="E40" s="1">
        <f t="shared" ref="E40" si="10">C40*D40</f>
        <v>405</v>
      </c>
      <c r="F40" s="9" t="b">
        <v>1</v>
      </c>
      <c r="G40" s="9" t="b">
        <v>1</v>
      </c>
      <c r="H40" s="10" t="s">
        <v>78</v>
      </c>
    </row>
    <row r="41" spans="1:8" x14ac:dyDescent="0.25">
      <c r="A41" t="s">
        <v>15</v>
      </c>
      <c r="B41" t="s">
        <v>64</v>
      </c>
      <c r="C41">
        <v>86.67</v>
      </c>
      <c r="D41" s="1">
        <v>30</v>
      </c>
      <c r="E41" s="1">
        <f>C41*D41</f>
        <v>2600.1</v>
      </c>
      <c r="F41" s="9" t="b">
        <v>1</v>
      </c>
      <c r="G41" s="9" t="b">
        <v>1</v>
      </c>
      <c r="H41" s="10" t="s">
        <v>86</v>
      </c>
    </row>
    <row r="42" spans="1:8" x14ac:dyDescent="0.25">
      <c r="A42" t="s">
        <v>15</v>
      </c>
      <c r="B42" t="s">
        <v>88</v>
      </c>
      <c r="C42">
        <v>16</v>
      </c>
      <c r="D42" s="1">
        <v>30</v>
      </c>
      <c r="E42" s="1">
        <f>C42*D42</f>
        <v>480</v>
      </c>
      <c r="F42" s="9" t="b">
        <v>1</v>
      </c>
      <c r="G42" s="9" t="b">
        <v>1</v>
      </c>
      <c r="H42" s="10" t="s">
        <v>89</v>
      </c>
    </row>
    <row r="43" spans="1:8" x14ac:dyDescent="0.25">
      <c r="A43" t="s">
        <v>15</v>
      </c>
      <c r="B43" t="s">
        <v>90</v>
      </c>
      <c r="C43">
        <v>50.1</v>
      </c>
      <c r="D43" s="1">
        <v>30</v>
      </c>
      <c r="E43" s="1">
        <f t="shared" ref="E43" si="11">C43*D43</f>
        <v>1503</v>
      </c>
      <c r="F43" s="9" t="b">
        <v>1</v>
      </c>
      <c r="G43" s="9" t="b">
        <v>1</v>
      </c>
      <c r="H43" t="s">
        <v>91</v>
      </c>
    </row>
    <row r="44" spans="1:8" ht="14.45" customHeight="1" x14ac:dyDescent="0.25">
      <c r="A44" t="s">
        <v>16</v>
      </c>
      <c r="B44" t="s">
        <v>67</v>
      </c>
      <c r="C44">
        <v>82.8</v>
      </c>
      <c r="D44" s="1">
        <v>30</v>
      </c>
      <c r="E44" s="1">
        <f>C44*D44</f>
        <v>2484</v>
      </c>
      <c r="F44" s="9" t="b">
        <v>0</v>
      </c>
      <c r="G44" s="9" t="b">
        <v>0</v>
      </c>
      <c r="H44" s="10" t="s">
        <v>70</v>
      </c>
    </row>
    <row r="45" spans="1:8" ht="14.25" customHeight="1" x14ac:dyDescent="0.25">
      <c r="A45" t="s">
        <v>16</v>
      </c>
      <c r="B45" s="11" t="s">
        <v>79</v>
      </c>
      <c r="C45">
        <v>146.80000000000001</v>
      </c>
      <c r="D45" s="1">
        <v>30</v>
      </c>
      <c r="E45" s="1">
        <f t="shared" ref="E45" si="12">C45*D45</f>
        <v>4404</v>
      </c>
      <c r="F45" s="9" t="b">
        <v>0</v>
      </c>
      <c r="G45" s="9" t="b">
        <v>0</v>
      </c>
      <c r="H45" s="10" t="s">
        <v>81</v>
      </c>
    </row>
    <row r="46" spans="1:8" ht="14.45" customHeight="1" x14ac:dyDescent="0.25">
      <c r="A46" t="s">
        <v>16</v>
      </c>
      <c r="B46" t="s">
        <v>28</v>
      </c>
      <c r="C46">
        <v>15</v>
      </c>
      <c r="D46" s="1">
        <v>30</v>
      </c>
      <c r="E46" s="1">
        <f t="shared" ref="E46:E54" si="13">C46*D46</f>
        <v>450</v>
      </c>
      <c r="F46" s="9" t="b">
        <v>0</v>
      </c>
      <c r="G46" s="9" t="b">
        <v>0</v>
      </c>
      <c r="H46" t="s">
        <v>97</v>
      </c>
    </row>
    <row r="47" spans="1:8" x14ac:dyDescent="0.25">
      <c r="A47" t="s">
        <v>16</v>
      </c>
      <c r="B47" t="s">
        <v>88</v>
      </c>
      <c r="C47">
        <v>16</v>
      </c>
      <c r="D47" s="1">
        <v>30</v>
      </c>
      <c r="E47" s="1">
        <f t="shared" si="13"/>
        <v>480</v>
      </c>
      <c r="F47" s="9" t="b">
        <v>0</v>
      </c>
      <c r="G47" s="9" t="b">
        <v>0</v>
      </c>
      <c r="H47" s="10" t="s">
        <v>89</v>
      </c>
    </row>
    <row r="48" spans="1:8" ht="14.45" customHeight="1" x14ac:dyDescent="0.25">
      <c r="A48" t="s">
        <v>16</v>
      </c>
      <c r="B48" t="s">
        <v>28</v>
      </c>
      <c r="C48">
        <v>21</v>
      </c>
      <c r="D48" s="1">
        <v>30</v>
      </c>
      <c r="E48" s="1">
        <f t="shared" si="13"/>
        <v>630</v>
      </c>
      <c r="F48" s="9" t="b">
        <v>0</v>
      </c>
      <c r="G48" s="9" t="b">
        <v>0</v>
      </c>
      <c r="H48" t="s">
        <v>96</v>
      </c>
    </row>
    <row r="49" spans="1:8" ht="14.45" customHeight="1" x14ac:dyDescent="0.25">
      <c r="A49" t="s">
        <v>16</v>
      </c>
      <c r="B49" t="s">
        <v>28</v>
      </c>
      <c r="C49">
        <v>66.69</v>
      </c>
      <c r="D49" s="1">
        <v>26</v>
      </c>
      <c r="E49" s="1">
        <f t="shared" si="13"/>
        <v>1733.94</v>
      </c>
      <c r="F49" s="9" t="b">
        <v>1</v>
      </c>
      <c r="G49" s="9" t="b">
        <v>0</v>
      </c>
      <c r="H49" s="10" t="s">
        <v>43</v>
      </c>
    </row>
    <row r="50" spans="1:8" x14ac:dyDescent="0.25">
      <c r="A50" t="s">
        <v>16</v>
      </c>
      <c r="B50" t="s">
        <v>28</v>
      </c>
      <c r="C50">
        <f xml:space="preserve"> 1 + (30/60)</f>
        <v>1.5</v>
      </c>
      <c r="D50" s="1">
        <v>26</v>
      </c>
      <c r="E50" s="1">
        <f>C50*D50</f>
        <v>39</v>
      </c>
      <c r="F50" s="9" t="b">
        <v>1</v>
      </c>
      <c r="G50" s="9" t="b">
        <v>0</v>
      </c>
      <c r="H50" s="10" t="s">
        <v>98</v>
      </c>
    </row>
    <row r="51" spans="1:8" ht="14.45" customHeight="1" x14ac:dyDescent="0.25">
      <c r="A51" t="s">
        <v>16</v>
      </c>
      <c r="B51" t="s">
        <v>28</v>
      </c>
      <c r="C51">
        <v>9</v>
      </c>
      <c r="D51" s="1">
        <v>30</v>
      </c>
      <c r="E51" s="1">
        <f t="shared" si="13"/>
        <v>270</v>
      </c>
      <c r="F51" s="9" t="b">
        <v>1</v>
      </c>
      <c r="G51" s="9" t="b">
        <v>0</v>
      </c>
      <c r="H51" s="10" t="s">
        <v>95</v>
      </c>
    </row>
    <row r="52" spans="1:8" ht="14.25" customHeight="1" x14ac:dyDescent="0.25">
      <c r="A52" t="s">
        <v>16</v>
      </c>
      <c r="B52" t="s">
        <v>101</v>
      </c>
      <c r="C52">
        <f xml:space="preserve"> 26.22</f>
        <v>26.22</v>
      </c>
      <c r="D52" s="1">
        <v>30</v>
      </c>
      <c r="E52" s="1">
        <f t="shared" si="13"/>
        <v>786.59999999999991</v>
      </c>
      <c r="F52" s="9" t="b">
        <v>1</v>
      </c>
      <c r="G52" s="9" t="b">
        <v>0</v>
      </c>
      <c r="H52" s="10" t="s">
        <v>102</v>
      </c>
    </row>
    <row r="53" spans="1:8" ht="14.25" customHeight="1" x14ac:dyDescent="0.25">
      <c r="A53" t="s">
        <v>16</v>
      </c>
      <c r="B53" t="s">
        <v>99</v>
      </c>
      <c r="C53">
        <v>11</v>
      </c>
      <c r="D53" s="1">
        <v>30</v>
      </c>
      <c r="E53" s="1">
        <f t="shared" si="13"/>
        <v>330</v>
      </c>
      <c r="F53" s="9" t="b">
        <v>0</v>
      </c>
      <c r="G53" s="9" t="b">
        <v>0</v>
      </c>
      <c r="H53" s="10" t="s">
        <v>100</v>
      </c>
    </row>
    <row r="54" spans="1:8" x14ac:dyDescent="0.25">
      <c r="A54" t="s">
        <v>16</v>
      </c>
      <c r="B54" t="s">
        <v>66</v>
      </c>
      <c r="C54">
        <v>60</v>
      </c>
      <c r="D54" s="1">
        <v>30</v>
      </c>
      <c r="E54" s="1">
        <f t="shared" si="13"/>
        <v>1800</v>
      </c>
      <c r="F54" s="9" t="b">
        <v>1</v>
      </c>
      <c r="G54" s="9" t="b">
        <v>0</v>
      </c>
      <c r="H54" s="10" t="s">
        <v>40</v>
      </c>
    </row>
    <row r="55" spans="1:8" x14ac:dyDescent="0.25">
      <c r="A55" t="s">
        <v>17</v>
      </c>
      <c r="B55" t="s">
        <v>90</v>
      </c>
      <c r="C55">
        <v>66.8</v>
      </c>
      <c r="D55" s="1">
        <v>30</v>
      </c>
      <c r="E55" s="1">
        <f t="shared" ref="E55" si="14">C55*D55</f>
        <v>2004</v>
      </c>
      <c r="F55" s="9" t="b">
        <v>0</v>
      </c>
      <c r="G55" s="9" t="b">
        <v>0</v>
      </c>
      <c r="H55" t="s">
        <v>93</v>
      </c>
    </row>
    <row r="56" spans="1:8" x14ac:dyDescent="0.25">
      <c r="A56" t="s">
        <v>17</v>
      </c>
      <c r="B56" t="s">
        <v>64</v>
      </c>
      <c r="C56">
        <v>65</v>
      </c>
      <c r="D56" s="1">
        <v>30</v>
      </c>
      <c r="E56" s="1">
        <f>C56*D56</f>
        <v>1950</v>
      </c>
      <c r="F56" s="9" t="b">
        <v>0</v>
      </c>
      <c r="G56" s="9" t="b">
        <v>0</v>
      </c>
      <c r="H56" s="10" t="s">
        <v>87</v>
      </c>
    </row>
    <row r="57" spans="1:8" ht="14.25" customHeight="1" x14ac:dyDescent="0.25">
      <c r="A57" t="s">
        <v>17</v>
      </c>
      <c r="B57" t="s">
        <v>101</v>
      </c>
      <c r="C57">
        <f xml:space="preserve"> 26.22</f>
        <v>26.22</v>
      </c>
      <c r="D57" s="1">
        <v>30</v>
      </c>
      <c r="E57" s="1">
        <f t="shared" ref="E57" si="15">C57*D57</f>
        <v>786.59999999999991</v>
      </c>
      <c r="F57" s="9" t="b">
        <v>1</v>
      </c>
      <c r="G57" s="9" t="b">
        <v>0</v>
      </c>
      <c r="H57" s="10" t="s">
        <v>103</v>
      </c>
    </row>
    <row r="58" spans="1:8" ht="14.45" customHeight="1" x14ac:dyDescent="0.25">
      <c r="A58" t="s">
        <v>17</v>
      </c>
      <c r="B58" t="s">
        <v>67</v>
      </c>
      <c r="C58">
        <v>62.1</v>
      </c>
      <c r="D58" s="1">
        <v>30</v>
      </c>
      <c r="E58" s="1">
        <f>C58*D58</f>
        <v>1863</v>
      </c>
      <c r="F58" s="9" t="b">
        <v>0</v>
      </c>
      <c r="G58" s="9" t="b">
        <v>0</v>
      </c>
      <c r="H58" s="10" t="s">
        <v>71</v>
      </c>
    </row>
    <row r="59" spans="1:8" x14ac:dyDescent="0.25">
      <c r="A59" t="s">
        <v>18</v>
      </c>
      <c r="B59" t="s">
        <v>90</v>
      </c>
      <c r="C59">
        <v>50.1</v>
      </c>
      <c r="D59" s="1">
        <v>30</v>
      </c>
      <c r="E59" s="1">
        <f t="shared" ref="E59" si="16">C59*D59</f>
        <v>1503</v>
      </c>
      <c r="F59" s="9" t="b">
        <v>0</v>
      </c>
      <c r="G59" s="9" t="b">
        <v>0</v>
      </c>
      <c r="H59" t="s">
        <v>92</v>
      </c>
    </row>
    <row r="60" spans="1:8" ht="14.25" customHeight="1" x14ac:dyDescent="0.25">
      <c r="A60" t="s">
        <v>18</v>
      </c>
      <c r="B60" s="11" t="s">
        <v>79</v>
      </c>
      <c r="C60">
        <v>110.1</v>
      </c>
      <c r="D60" s="1">
        <v>30</v>
      </c>
      <c r="E60" s="1">
        <f t="shared" ref="E60" si="17">C60*D60</f>
        <v>3303</v>
      </c>
      <c r="F60" s="9" t="b">
        <v>0</v>
      </c>
      <c r="G60" s="9" t="b">
        <v>0</v>
      </c>
      <c r="H60" s="10" t="s">
        <v>82</v>
      </c>
    </row>
    <row r="61" spans="1:8" x14ac:dyDescent="0.25">
      <c r="A61" t="s">
        <v>19</v>
      </c>
      <c r="B61" t="s">
        <v>66</v>
      </c>
      <c r="C61">
        <f xml:space="preserve"> 72.83</f>
        <v>72.83</v>
      </c>
      <c r="D61" s="1">
        <v>30</v>
      </c>
      <c r="E61" s="1">
        <f>C61*D61</f>
        <v>2184.9</v>
      </c>
      <c r="F61" s="9" t="b">
        <v>0</v>
      </c>
      <c r="G61" s="9" t="b">
        <v>0</v>
      </c>
      <c r="H61" s="10" t="s">
        <v>40</v>
      </c>
    </row>
  </sheetData>
  <autoFilter ref="A1:E1" xr:uid="{595C72A5-757D-4741-BA37-542759388843}"/>
  <phoneticPr fontId="2" type="noConversion"/>
  <dataValidations count="1">
    <dataValidation type="list" allowBlank="1" showInputMessage="1" showErrorMessage="1" sqref="A2:A61" xr:uid="{BCCCC2BD-005D-4BFA-9DDD-80C4B53625CC}">
      <formula1>"Enero,Febrero,Marzo,Abril,Mayo,Junio,Julio,Agosto,Septiembre,Octubre,Noviembre,Diciembre"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3FBCD-F02E-4BF5-AA5F-D1593A4A9DC8}">
  <sheetPr codeName="Hoja2"/>
  <dimension ref="A1:I15"/>
  <sheetViews>
    <sheetView tabSelected="1" zoomScaleNormal="100" workbookViewId="0">
      <selection activeCell="C20" sqref="C20"/>
    </sheetView>
  </sheetViews>
  <sheetFormatPr baseColWidth="10" defaultColWidth="16.140625" defaultRowHeight="15" x14ac:dyDescent="0.25"/>
  <cols>
    <col min="2" max="6" width="16.140625" style="1"/>
  </cols>
  <sheetData>
    <row r="1" spans="1:9" s="6" customFormat="1" x14ac:dyDescent="0.25">
      <c r="A1" s="5" t="s">
        <v>0</v>
      </c>
      <c r="B1" s="8" t="s">
        <v>5</v>
      </c>
      <c r="C1" s="8" t="s">
        <v>6</v>
      </c>
      <c r="D1" s="8" t="s">
        <v>7</v>
      </c>
      <c r="E1" s="8" t="s">
        <v>8</v>
      </c>
      <c r="F1" s="8" t="s">
        <v>9</v>
      </c>
      <c r="H1" s="8" t="s">
        <v>39</v>
      </c>
    </row>
    <row r="2" spans="1:9" x14ac:dyDescent="0.25">
      <c r="A2" t="s">
        <v>10</v>
      </c>
      <c r="B2" s="1">
        <f>SUMIF(Registro_Horas!A:A,A2,Registro_Horas!E:E)</f>
        <v>1869.5</v>
      </c>
      <c r="C2" s="1">
        <f>(B2*0.21) - (110*0.21)</f>
        <v>369.49499999999995</v>
      </c>
      <c r="D2" s="1">
        <v>205</v>
      </c>
      <c r="E2" s="1">
        <v>390</v>
      </c>
      <c r="F2" s="1">
        <f>B2-D2-E2-H2</f>
        <v>1151.335</v>
      </c>
      <c r="H2" s="1">
        <f xml:space="preserve"> (B2 * 0.07) - (110*0.07)</f>
        <v>123.16500000000001</v>
      </c>
    </row>
    <row r="3" spans="1:9" x14ac:dyDescent="0.25">
      <c r="A3" t="s">
        <v>11</v>
      </c>
      <c r="B3" s="1">
        <f>SUMIF(Registro_Horas!A:A,A3,Registro_Horas!E:E)</f>
        <v>5638.3</v>
      </c>
      <c r="C3" s="1">
        <f t="shared" ref="C3:C13" si="0">B3*0.21</f>
        <v>1184.0429999999999</v>
      </c>
      <c r="D3" s="1">
        <v>205</v>
      </c>
      <c r="E3" s="1">
        <v>390</v>
      </c>
      <c r="F3" s="1">
        <f t="shared" ref="F3:F13" si="1">B3-D3-E3-H3</f>
        <v>4648.6190000000006</v>
      </c>
      <c r="H3" s="1">
        <f t="shared" ref="H3:H13" si="2" xml:space="preserve"> B3 * 0.07</f>
        <v>394.68100000000004</v>
      </c>
    </row>
    <row r="4" spans="1:9" x14ac:dyDescent="0.25">
      <c r="A4" t="s">
        <v>12</v>
      </c>
      <c r="B4" s="1">
        <f>SUMIF(Registro_Horas!A:A,A4,Registro_Horas!E:E)</f>
        <v>6768.2</v>
      </c>
      <c r="C4" s="1">
        <f t="shared" si="0"/>
        <v>1421.3219999999999</v>
      </c>
      <c r="D4" s="1">
        <v>205</v>
      </c>
      <c r="E4" s="1">
        <v>390</v>
      </c>
      <c r="F4" s="1">
        <f t="shared" si="1"/>
        <v>5699.4259999999995</v>
      </c>
      <c r="H4" s="1">
        <f t="shared" si="2"/>
        <v>473.77400000000006</v>
      </c>
    </row>
    <row r="5" spans="1:9" x14ac:dyDescent="0.25">
      <c r="A5" t="s">
        <v>13</v>
      </c>
      <c r="B5" s="1">
        <f>SUMIF(Registro_Horas!A:A,A5,Registro_Horas!E:E)</f>
        <v>5258.9</v>
      </c>
      <c r="C5" s="1">
        <f t="shared" si="0"/>
        <v>1104.3689999999999</v>
      </c>
      <c r="D5" s="1">
        <v>205</v>
      </c>
      <c r="E5" s="1">
        <v>390</v>
      </c>
      <c r="F5" s="1">
        <f>B5-D5-E5-H5</f>
        <v>4295.777</v>
      </c>
      <c r="H5" s="1">
        <f t="shared" si="2"/>
        <v>368.12299999999999</v>
      </c>
    </row>
    <row r="6" spans="1:9" x14ac:dyDescent="0.25">
      <c r="A6" t="s">
        <v>14</v>
      </c>
      <c r="B6" s="1">
        <f>SUMIF(Registro_Horas!A:A,A6,Registro_Horas!E:E)</f>
        <v>9306</v>
      </c>
      <c r="C6" s="1">
        <f t="shared" si="0"/>
        <v>1954.26</v>
      </c>
      <c r="D6" s="1">
        <v>205</v>
      </c>
      <c r="E6" s="1">
        <v>390</v>
      </c>
      <c r="F6" s="1">
        <f t="shared" si="1"/>
        <v>8059.58</v>
      </c>
      <c r="H6" s="1">
        <f t="shared" si="2"/>
        <v>651.42000000000007</v>
      </c>
    </row>
    <row r="7" spans="1:9" x14ac:dyDescent="0.25">
      <c r="A7" t="s">
        <v>15</v>
      </c>
      <c r="B7" s="1">
        <f>SUMIF(Registro_Horas!A:A,A7,Registro_Horas!E:E)</f>
        <v>7718.1</v>
      </c>
      <c r="C7" s="1">
        <f t="shared" si="0"/>
        <v>1620.8009999999999</v>
      </c>
      <c r="D7" s="1">
        <v>205</v>
      </c>
      <c r="E7" s="1">
        <v>390</v>
      </c>
      <c r="F7" s="1">
        <f t="shared" si="1"/>
        <v>6582.8330000000005</v>
      </c>
      <c r="H7" s="1">
        <f t="shared" si="2"/>
        <v>540.26700000000005</v>
      </c>
    </row>
    <row r="8" spans="1:9" x14ac:dyDescent="0.25">
      <c r="A8" t="s">
        <v>16</v>
      </c>
      <c r="B8" s="1">
        <f>SUMIF(Registro_Horas!A:A,A8,Registro_Horas!E:E)</f>
        <v>13407.54</v>
      </c>
      <c r="C8" s="1">
        <f t="shared" si="0"/>
        <v>2815.5834</v>
      </c>
      <c r="D8" s="1">
        <v>205</v>
      </c>
      <c r="E8" s="1">
        <v>390</v>
      </c>
      <c r="F8" s="1">
        <f>B8-D8-E8-H8</f>
        <v>11874.012200000001</v>
      </c>
      <c r="H8" s="1">
        <f t="shared" si="2"/>
        <v>938.52780000000018</v>
      </c>
    </row>
    <row r="9" spans="1:9" x14ac:dyDescent="0.25">
      <c r="A9" t="s">
        <v>17</v>
      </c>
      <c r="B9" s="1">
        <f>SUMIF(Registro_Horas!A:A,A9,Registro_Horas!E:E)</f>
        <v>6603.6</v>
      </c>
      <c r="C9" s="1">
        <f t="shared" si="0"/>
        <v>1386.7560000000001</v>
      </c>
      <c r="D9" s="1">
        <v>205</v>
      </c>
      <c r="E9" s="1">
        <v>390</v>
      </c>
      <c r="F9" s="1">
        <f t="shared" si="1"/>
        <v>5546.348</v>
      </c>
      <c r="H9" s="1">
        <f t="shared" si="2"/>
        <v>462.25200000000007</v>
      </c>
    </row>
    <row r="10" spans="1:9" x14ac:dyDescent="0.25">
      <c r="A10" t="s">
        <v>18</v>
      </c>
      <c r="B10" s="1">
        <f>SUMIF(Registro_Horas!A:A,A10,Registro_Horas!E:E)</f>
        <v>4806</v>
      </c>
      <c r="C10" s="1">
        <f t="shared" si="0"/>
        <v>1009.26</v>
      </c>
      <c r="F10" s="1">
        <f t="shared" si="1"/>
        <v>4469.58</v>
      </c>
      <c r="H10" s="1">
        <f t="shared" si="2"/>
        <v>336.42</v>
      </c>
    </row>
    <row r="11" spans="1:9" x14ac:dyDescent="0.25">
      <c r="A11" t="s">
        <v>19</v>
      </c>
      <c r="B11" s="1">
        <f>SUMIF(Registro_Horas!A:A,A11,Registro_Horas!E:E)</f>
        <v>2184.9</v>
      </c>
      <c r="C11" s="1">
        <f t="shared" si="0"/>
        <v>458.82900000000001</v>
      </c>
      <c r="F11" s="1">
        <f t="shared" si="1"/>
        <v>2031.9570000000001</v>
      </c>
      <c r="H11" s="1">
        <f t="shared" si="2"/>
        <v>152.94300000000001</v>
      </c>
    </row>
    <row r="12" spans="1:9" x14ac:dyDescent="0.25">
      <c r="A12" t="s">
        <v>20</v>
      </c>
      <c r="B12" s="1">
        <f>SUMIF(Registro_Horas!A:A,A12,Registro_Horas!E:E)</f>
        <v>0</v>
      </c>
      <c r="C12" s="1">
        <f t="shared" si="0"/>
        <v>0</v>
      </c>
      <c r="F12" s="1">
        <f t="shared" si="1"/>
        <v>0</v>
      </c>
      <c r="H12" s="1">
        <f t="shared" si="2"/>
        <v>0</v>
      </c>
      <c r="I12" s="4"/>
    </row>
    <row r="13" spans="1:9" x14ac:dyDescent="0.25">
      <c r="A13" t="s">
        <v>21</v>
      </c>
      <c r="B13" s="1">
        <f>SUMIF(Registro_Horas!A:A,A13,Registro_Horas!E:E)</f>
        <v>0</v>
      </c>
      <c r="C13" s="1">
        <f t="shared" si="0"/>
        <v>0</v>
      </c>
      <c r="F13" s="1">
        <f t="shared" si="1"/>
        <v>0</v>
      </c>
      <c r="H13" s="1">
        <f t="shared" si="2"/>
        <v>0</v>
      </c>
    </row>
    <row r="14" spans="1:9" x14ac:dyDescent="0.25">
      <c r="H14" s="1"/>
    </row>
    <row r="15" spans="1:9" x14ac:dyDescent="0.25">
      <c r="A15" s="2" t="s">
        <v>22</v>
      </c>
      <c r="B15" s="1">
        <f>SUM(B2:B13)</f>
        <v>63561.04</v>
      </c>
      <c r="C15" s="1">
        <f>SUM(C2:C13)</f>
        <v>13324.718399999998</v>
      </c>
      <c r="D15" s="1">
        <f>SUM(D2:D13)</f>
        <v>1640</v>
      </c>
      <c r="F15" s="3">
        <f>SUM(F2:F13)</f>
        <v>54359.467200000006</v>
      </c>
      <c r="H15" s="1">
        <f>SUM(H2:H13)</f>
        <v>4441.5728000000008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35942-EADB-4264-8D49-A9FD5EC4E70B}">
  <sheetPr codeName="Hoja3"/>
  <dimension ref="A1:B6"/>
  <sheetViews>
    <sheetView workbookViewId="0">
      <selection activeCell="B4" sqref="B4"/>
    </sheetView>
  </sheetViews>
  <sheetFormatPr baseColWidth="10" defaultRowHeight="15" x14ac:dyDescent="0.25"/>
  <cols>
    <col min="1" max="1" width="15.28515625" bestFit="1" customWidth="1"/>
    <col min="2" max="2" width="10.42578125" bestFit="1" customWidth="1"/>
  </cols>
  <sheetData>
    <row r="1" spans="1:2" x14ac:dyDescent="0.25">
      <c r="A1" s="2" t="s">
        <v>23</v>
      </c>
    </row>
    <row r="3" spans="1:2" x14ac:dyDescent="0.25">
      <c r="A3" t="s">
        <v>24</v>
      </c>
      <c r="B3" s="1">
        <f>SUM(Resumen_Mensual!B2:B13)</f>
        <v>63561.04</v>
      </c>
    </row>
    <row r="4" spans="1:2" x14ac:dyDescent="0.25">
      <c r="A4" t="s">
        <v>25</v>
      </c>
      <c r="B4" s="1">
        <f>SUM(Resumen_Mensual!C2:C13)</f>
        <v>13324.718399999998</v>
      </c>
    </row>
    <row r="5" spans="1:2" x14ac:dyDescent="0.25">
      <c r="A5" t="s">
        <v>26</v>
      </c>
      <c r="B5" s="4">
        <f>AVERAGE(Resumen_Mensual!F2:F13)</f>
        <v>4529.9556000000002</v>
      </c>
    </row>
    <row r="6" spans="1:2" x14ac:dyDescent="0.25">
      <c r="A6" t="s">
        <v>27</v>
      </c>
      <c r="B6">
        <f>SUM(Registro_Horas!C:C)</f>
        <v>2169.4933333333333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C86E3-A28F-465F-AC6B-7411724DEF22}">
  <dimension ref="A1:D1"/>
  <sheetViews>
    <sheetView workbookViewId="0">
      <selection activeCell="D13" sqref="D13"/>
    </sheetView>
  </sheetViews>
  <sheetFormatPr baseColWidth="10" defaultColWidth="11.5703125" defaultRowHeight="19.149999999999999" customHeight="1" x14ac:dyDescent="0.25"/>
  <cols>
    <col min="1" max="1" width="11.5703125" style="6"/>
    <col min="2" max="2" width="13.28515625" style="6" customWidth="1"/>
    <col min="3" max="3" width="15.5703125" style="6" customWidth="1"/>
    <col min="4" max="4" width="139.28515625" style="6" customWidth="1"/>
    <col min="5" max="16384" width="11.5703125" style="6"/>
  </cols>
  <sheetData>
    <row r="1" spans="1:4" ht="19.149999999999999" customHeight="1" x14ac:dyDescent="0.25">
      <c r="A1" s="5" t="s">
        <v>0</v>
      </c>
      <c r="B1" s="5" t="s">
        <v>1</v>
      </c>
      <c r="C1" s="5" t="s">
        <v>2</v>
      </c>
      <c r="D1" s="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Registro_Horas</vt:lpstr>
      <vt:lpstr>Resumen_Mensual</vt:lpstr>
      <vt:lpstr>Dashboard</vt:lpstr>
      <vt:lpstr>Registro_Horas_Desarrollos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Adrián Pozo Esteban</dc:creator>
  <cp:lastModifiedBy>Adrian Pozo Esteban</cp:lastModifiedBy>
  <dcterms:created xsi:type="dcterms:W3CDTF">2025-02-12T22:58:10Z</dcterms:created>
  <dcterms:modified xsi:type="dcterms:W3CDTF">2026-07-10T11:55:37Z</dcterms:modified>
</cp:coreProperties>
</file>